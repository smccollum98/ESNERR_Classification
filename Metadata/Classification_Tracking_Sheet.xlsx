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an\Documents\ClassificationDocumentation\ESNERR_GEE_Classification\"/>
    </mc:Choice>
  </mc:AlternateContent>
  <xr:revisionPtr revIDLastSave="0" documentId="13_ncr:1_{0C401788-5C87-4C46-AD83-D3439D396523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TrackingData" sheetId="8" r:id="rId1"/>
    <sheet name="README" sheetId="1" r:id="rId2"/>
    <sheet name="DataCurationTaskList" sheetId="2" r:id="rId3"/>
    <sheet name="Classification_AllSites" sheetId="3" r:id="rId4"/>
    <sheet name="ConfusionMatrices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7" l="1"/>
  <c r="C47" i="7"/>
  <c r="B47" i="7"/>
  <c r="D46" i="7"/>
  <c r="D45" i="7"/>
  <c r="C41" i="7"/>
  <c r="J40" i="7"/>
  <c r="D40" i="7"/>
  <c r="J39" i="7"/>
  <c r="B39" i="7"/>
  <c r="D41" i="7" s="1"/>
  <c r="J38" i="7"/>
  <c r="I38" i="7"/>
  <c r="I40" i="7" s="1"/>
  <c r="H38" i="7"/>
  <c r="H40" i="7" s="1"/>
  <c r="D35" i="7"/>
  <c r="C35" i="7"/>
  <c r="B35" i="7"/>
  <c r="H34" i="7"/>
  <c r="D34" i="7"/>
  <c r="J33" i="7"/>
  <c r="I33" i="7"/>
  <c r="J34" i="7" s="1"/>
  <c r="D33" i="7"/>
  <c r="J32" i="7"/>
  <c r="H32" i="7"/>
  <c r="J28" i="7"/>
  <c r="I28" i="7"/>
  <c r="I27" i="7"/>
  <c r="J27" i="7" s="1"/>
  <c r="H27" i="7"/>
  <c r="H28" i="7" s="1"/>
  <c r="C27" i="7"/>
  <c r="C28" i="7" s="1"/>
  <c r="I26" i="7"/>
  <c r="J26" i="7" s="1"/>
  <c r="H26" i="7"/>
  <c r="B26" i="7"/>
  <c r="D28" i="7" s="1"/>
  <c r="J21" i="7"/>
  <c r="I21" i="7"/>
  <c r="H21" i="7"/>
  <c r="J20" i="7"/>
  <c r="C20" i="7"/>
  <c r="C21" i="7" s="1"/>
  <c r="B20" i="7"/>
  <c r="J19" i="7"/>
  <c r="C19" i="7"/>
  <c r="B19" i="7"/>
  <c r="D19" i="7" s="1"/>
  <c r="J14" i="7"/>
  <c r="I14" i="7"/>
  <c r="H14" i="7"/>
  <c r="D14" i="7"/>
  <c r="C14" i="7"/>
  <c r="B14" i="7"/>
  <c r="J13" i="7"/>
  <c r="D13" i="7"/>
  <c r="J12" i="7"/>
  <c r="D12" i="7"/>
  <c r="D5" i="7"/>
  <c r="C5" i="7"/>
  <c r="B5" i="7"/>
  <c r="D4" i="7"/>
  <c r="D3" i="7"/>
  <c r="I34" i="7" l="1"/>
  <c r="D20" i="7"/>
  <c r="D21" i="7"/>
  <c r="D39" i="7"/>
  <c r="D26" i="7"/>
  <c r="B21" i="7"/>
  <c r="D27" i="7"/>
  <c r="B41" i="7"/>
  <c r="B2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tc={3BDBC758-6476-4E07-B98B-5F828C418F5C}</author>
    <author>tc={99B94A2A-EE0D-499A-82AE-E17ADB3B1491}</author>
  </authors>
  <commentList>
    <comment ref="J1" authorId="0" shapeId="0" xr:uid="{3BDBC758-6476-4E07-B98B-5F828C418F5C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need to be able to link the specific shapefile/kmz.</t>
      </text>
    </comment>
    <comment ref="AH1" authorId="1" shapeId="0" xr:uid="{99B94A2A-EE0D-499A-82AE-E17ADB3B1491}">
      <text>
        <t>[Threaded comment]
Your version of Excel allows you to read this threaded comment; however, any edits to it will get removed if the file is opened in a newer version of Excel. Learn more: https://go.microsoft.com/fwlink/?linkid=870924
Comment:
    Ideally, I will be able to include exactly what features the classifier was trained on, but that would be an extra 20ish columns.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tc={80cdb9b0-89b5-4a4d-82e8-f74ebaf64820}</author>
    <author>tc={33f55b64-aa5d-4a9a-9b01-8e7c07ea86dd}</author>
  </authors>
  <commentList>
    <comment ref="I1" authorId="0" shapeId="0" xr:uid="{80CDB9B0-89B5-4A4D-82E8-F74EBAF64820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need to be able to link the specific shapefile/kmz.</t>
      </text>
    </comment>
    <comment ref="AG1" authorId="1" shapeId="0" xr:uid="{33F55B64-AA5D-4A9A-9B01-8E7C07EA86DD}">
      <text>
        <t>[Threaded comment]
Your version of Excel allows you to read this threaded comment; however, any edits to it will get removed if the file is opened in a newer version of Excel. Learn more: https://go.microsoft.com/fwlink/?linkid=870924
Comment:
    Ideally, I will be able to include exactly what features the classifier was trained on, but that would be an extra 20ish columns.</t>
      </text>
    </comment>
  </commentList>
</comments>
</file>

<file path=xl/sharedStrings.xml><?xml version="1.0" encoding="utf-8"?>
<sst xmlns="http://schemas.openxmlformats.org/spreadsheetml/2006/main" count="1246" uniqueCount="143">
  <si>
    <t>Description of each column in the dataset</t>
  </si>
  <si>
    <t>Task list:</t>
  </si>
  <si>
    <t>Download and collate classifications (.tif)</t>
  </si>
  <si>
    <t>Download and collate training data</t>
  </si>
  <si>
    <t>Download and collate accuracy assessment data</t>
  </si>
  <si>
    <t>Region</t>
  </si>
  <si>
    <t>Subregion</t>
  </si>
  <si>
    <t>Area</t>
  </si>
  <si>
    <t>Subarea</t>
  </si>
  <si>
    <t>Year</t>
  </si>
  <si>
    <t>Month</t>
  </si>
  <si>
    <t>Day</t>
  </si>
  <si>
    <t>Date</t>
  </si>
  <si>
    <t>Mask</t>
  </si>
  <si>
    <t>DroneID</t>
  </si>
  <si>
    <t>Input_Band1</t>
  </si>
  <si>
    <t>Input_Band2</t>
  </si>
  <si>
    <t>Input_Band3</t>
  </si>
  <si>
    <t>Input_Band4</t>
  </si>
  <si>
    <t>Input_Band5</t>
  </si>
  <si>
    <t>Input_Elevation</t>
  </si>
  <si>
    <t>Slope</t>
  </si>
  <si>
    <t>Hillshade</t>
  </si>
  <si>
    <t>Indices_Calculated</t>
  </si>
  <si>
    <t>NDTI</t>
  </si>
  <si>
    <t>OSAVI</t>
  </si>
  <si>
    <t>GRVI</t>
  </si>
  <si>
    <t>NDRE</t>
  </si>
  <si>
    <t>ARI</t>
  </si>
  <si>
    <t>BNDVI</t>
  </si>
  <si>
    <t>BIXS</t>
  </si>
  <si>
    <t>NDWI</t>
  </si>
  <si>
    <t>NDCI</t>
  </si>
  <si>
    <t>NDAVI</t>
  </si>
  <si>
    <t>WAVI</t>
  </si>
  <si>
    <t>BAI</t>
  </si>
  <si>
    <t>TextureCalculated</t>
  </si>
  <si>
    <t>Correlation</t>
  </si>
  <si>
    <t>Dissimilarity</t>
  </si>
  <si>
    <t>Contrast</t>
  </si>
  <si>
    <t>Training_Samples</t>
  </si>
  <si>
    <t>Sample_Number</t>
  </si>
  <si>
    <t>Sample_Distance_Filter</t>
  </si>
  <si>
    <t>CRS</t>
  </si>
  <si>
    <t>Scale</t>
  </si>
  <si>
    <t>Classifier</t>
  </si>
  <si>
    <t>Class0</t>
  </si>
  <si>
    <t>Class1</t>
  </si>
  <si>
    <t>Class2</t>
  </si>
  <si>
    <t>Class3</t>
  </si>
  <si>
    <t>Class4</t>
  </si>
  <si>
    <t>Class5</t>
  </si>
  <si>
    <t>TreeNum</t>
  </si>
  <si>
    <t>VariablesPerSplit</t>
  </si>
  <si>
    <t>BagFraction</t>
  </si>
  <si>
    <t>MinimumLeafNode</t>
  </si>
  <si>
    <t>DateCreated</t>
  </si>
  <si>
    <t>Accuracy</t>
  </si>
  <si>
    <t>Kappa</t>
  </si>
  <si>
    <t>VegUserAcc</t>
  </si>
  <si>
    <t>VegProdAcc</t>
  </si>
  <si>
    <t>SedUserAcc</t>
  </si>
  <si>
    <t>SedProdAcc</t>
  </si>
  <si>
    <t>AssessmentPoints</t>
  </si>
  <si>
    <t>Classification_Raster</t>
  </si>
  <si>
    <t>Pct_Cover_Unadjusted</t>
  </si>
  <si>
    <t>Pct_Cover_Adjusted</t>
  </si>
  <si>
    <t>Notes</t>
  </si>
  <si>
    <t>Location</t>
  </si>
  <si>
    <t>MetaData</t>
  </si>
  <si>
    <t>ClassifierData</t>
  </si>
  <si>
    <t>Accuracy Assessment</t>
  </si>
  <si>
    <t>Results</t>
  </si>
  <si>
    <t>Elkhorn Slough</t>
  </si>
  <si>
    <t>Lower Slough</t>
  </si>
  <si>
    <t>Hester</t>
  </si>
  <si>
    <t>Phase1</t>
  </si>
  <si>
    <t>Post-2020</t>
  </si>
  <si>
    <t>M3_Enterprise</t>
  </si>
  <si>
    <t>Red</t>
  </si>
  <si>
    <t>Green</t>
  </si>
  <si>
    <t>Near-Infrared</t>
  </si>
  <si>
    <t>Red-edge</t>
  </si>
  <si>
    <t>Yes</t>
  </si>
  <si>
    <t>No</t>
  </si>
  <si>
    <t>DOI</t>
  </si>
  <si>
    <t>EPSG:6318</t>
  </si>
  <si>
    <t>Random Forest</t>
  </si>
  <si>
    <t>Unvegetated</t>
  </si>
  <si>
    <t>Vegetated</t>
  </si>
  <si>
    <t>WetSediment</t>
  </si>
  <si>
    <t>Water</t>
  </si>
  <si>
    <t>Phase2</t>
  </si>
  <si>
    <t>VegetatedWoody</t>
  </si>
  <si>
    <t>UlvaWrack</t>
  </si>
  <si>
    <t>P4_Sentera</t>
  </si>
  <si>
    <t>Garbage</t>
  </si>
  <si>
    <t>12 cells didn't have 100% cover. Omitted from analysis.</t>
  </si>
  <si>
    <t>Phantom_RTK</t>
  </si>
  <si>
    <t>Blue</t>
  </si>
  <si>
    <t>68 cells didn't have 100% data coverage. Omitted from analysis.</t>
  </si>
  <si>
    <t>EPSG:4269</t>
  </si>
  <si>
    <t>NA</t>
  </si>
  <si>
    <t>Pre-2020</t>
  </si>
  <si>
    <t xml:space="preserve">Start date so vegetation is 0. </t>
  </si>
  <si>
    <t>EPSG:6339</t>
  </si>
  <si>
    <t>Site</t>
  </si>
  <si>
    <t>Date Flown</t>
  </si>
  <si>
    <t>Date Classified</t>
  </si>
  <si>
    <t>Template</t>
  </si>
  <si>
    <t>Minhoto/Hester Phase 1</t>
  </si>
  <si>
    <t>Minhoto/Hester Phase 2</t>
  </si>
  <si>
    <t>Minhoto/Hester Phase 3</t>
  </si>
  <si>
    <t>MP1</t>
  </si>
  <si>
    <t>MP2</t>
  </si>
  <si>
    <t>Establish standardized naming convention xxxzz</t>
  </si>
  <si>
    <t>three letter location code, two letter data code, date of imagery_date created</t>
  </si>
  <si>
    <t>sp</t>
  </si>
  <si>
    <t>cr</t>
  </si>
  <si>
    <t>sample points</t>
  </si>
  <si>
    <t>accuracy assessment points</t>
  </si>
  <si>
    <t>aa</t>
  </si>
  <si>
    <t>classification raster</t>
  </si>
  <si>
    <t>hp1</t>
  </si>
  <si>
    <t>hp2</t>
  </si>
  <si>
    <t>hp3</t>
  </si>
  <si>
    <t>par</t>
  </si>
  <si>
    <t>pac</t>
  </si>
  <si>
    <t>yam</t>
  </si>
  <si>
    <t>pel</t>
  </si>
  <si>
    <t>Pelican Marsh</t>
  </si>
  <si>
    <t>Yampah Marsh</t>
  </si>
  <si>
    <t>Packard Marsh</t>
  </si>
  <si>
    <t>Parson's Slough</t>
  </si>
  <si>
    <t>Hester Phase 3</t>
  </si>
  <si>
    <t>Hester Phase 2</t>
  </si>
  <si>
    <t>Hester Phase 1</t>
  </si>
  <si>
    <t>MP3sp20260629_20260417</t>
  </si>
  <si>
    <t>apn</t>
  </si>
  <si>
    <t>Azevedo Pond North</t>
  </si>
  <si>
    <t>Azevedo Pond South</t>
  </si>
  <si>
    <t>Azevedo Pond Central</t>
  </si>
  <si>
    <t>Date8Digit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</si>
</sst>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\-d"/>
    <numFmt numFmtId="165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1" fillId="0" borderId="0" xfId="0" applyNumberFormat="1" applyFont="1"/>
    <xf numFmtId="165" fontId="2" fillId="0" borderId="0" xfId="0" applyNumberFormat="1" applyFont="1" applyAlignment="1">
      <alignment horizontal="right"/>
    </xf>
    <xf numFmtId="0" fontId="3" fillId="5" borderId="0" xfId="0" applyFont="1" applyFill="1"/>
    <xf numFmtId="0" fontId="1" fillId="6" borderId="0" xfId="0" applyFont="1" applyFill="1"/>
    <xf numFmtId="0" fontId="1" fillId="0" borderId="1" xfId="0" applyFont="1" applyBorder="1"/>
    <xf numFmtId="0" fontId="1" fillId="3" borderId="2" xfId="0" applyFont="1" applyFill="1" applyBorder="1"/>
    <xf numFmtId="0" fontId="1" fillId="4" borderId="2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2" xfId="0" applyFont="1" applyBorder="1"/>
    <xf numFmtId="0" fontId="1" fillId="5" borderId="0" xfId="0" applyFont="1" applyFill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an M" id="{D008FDE0-FCF0-4EB5-A99E-F457251765C5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5-09-04T20:48:07.00" personId="{D008FDE0-FCF0-4EB5-A99E-F457251765C5}" id="{3BDBC758-6476-4E07-B98B-5F828C418F5C}">
    <text>Will need to be able to link the specific shapefile/kmz.</text>
  </threadedComment>
  <threadedComment ref="AH1" dT="2025-09-04T21:02:04.00" personId="{D008FDE0-FCF0-4EB5-A99E-F457251765C5}" id="{99B94A2A-EE0D-499A-82AE-E17ADB3B1491}">
    <text>Ideally, I will be able to include exactly what features the classifier was trained on, but that would be an extra 20ish columns.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" dT="2025-09-04T20:48:07.00" personId="{D008FDE0-FCF0-4EB5-A99E-F457251765C5}" id="{80CDB9B0-89B5-4A4D-82E8-F74EBAF64820}">
    <text>Will need to be able to link the specific shapefile/kmz.</text>
  </threadedComment>
  <threadedComment ref="AG1" dT="2025-09-04T21:02:04.00" personId="{D008FDE0-FCF0-4EB5-A99E-F457251765C5}" id="{33F55B64-AA5D-4A9A-9B01-8E7C07EA86DD}">
    <text>Ideally, I will be able to include exactly what features the classifier was trained on, but that would be an extra 20ish columns.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53A61-AAF9-40AC-922D-DDADE208B9E0}">
  <sheetPr>
    <outlinePr summaryBelow="0" summaryRight="0"/>
  </sheetPr>
  <dimension ref="A1:BM16"/>
  <sheetViews>
    <sheetView tabSelected="1" workbookViewId="0">
      <selection activeCell="K25" sqref="K25"/>
    </sheetView>
  </sheetViews>
  <sheetFormatPr defaultColWidth="12.61328125" defaultRowHeight="15.75" customHeight="1" x14ac:dyDescent="0.3"/>
  <cols>
    <col min="5" max="5" width="12.4609375" customWidth="1"/>
    <col min="9" max="9" width="12.61328125" style="28"/>
    <col min="38" max="38" width="15.23046875" customWidth="1"/>
    <col min="51" max="51" width="16.4609375" customWidth="1"/>
    <col min="52" max="53" width="15" customWidth="1"/>
    <col min="62" max="63" width="20.15234375" customWidth="1"/>
    <col min="64" max="64" width="20.765625" customWidth="1"/>
  </cols>
  <sheetData>
    <row r="1" spans="1:65" ht="15.75" customHeight="1" x14ac:dyDescent="0.3">
      <c r="A1" s="2" t="s">
        <v>5</v>
      </c>
      <c r="B1" s="2" t="s">
        <v>6</v>
      </c>
      <c r="C1" s="2" t="s">
        <v>7</v>
      </c>
      <c r="D1" s="2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25" t="s">
        <v>142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24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3" t="s">
        <v>47</v>
      </c>
      <c r="AT1" s="3" t="s">
        <v>48</v>
      </c>
      <c r="AU1" s="3" t="s">
        <v>49</v>
      </c>
      <c r="AV1" s="3" t="s">
        <v>50</v>
      </c>
      <c r="AW1" s="3" t="s">
        <v>51</v>
      </c>
      <c r="AX1" s="3" t="s">
        <v>52</v>
      </c>
      <c r="AY1" s="3" t="s">
        <v>53</v>
      </c>
      <c r="AZ1" s="3" t="s">
        <v>54</v>
      </c>
      <c r="BA1" s="3" t="s">
        <v>55</v>
      </c>
      <c r="BB1" s="3" t="s">
        <v>56</v>
      </c>
      <c r="BC1" s="3" t="s">
        <v>57</v>
      </c>
      <c r="BD1" s="3" t="s">
        <v>58</v>
      </c>
      <c r="BE1" s="3" t="s">
        <v>59</v>
      </c>
      <c r="BF1" s="3" t="s">
        <v>60</v>
      </c>
      <c r="BG1" s="3" t="s">
        <v>61</v>
      </c>
      <c r="BH1" s="3" t="s">
        <v>62</v>
      </c>
      <c r="BI1" s="3" t="s">
        <v>63</v>
      </c>
      <c r="BJ1" s="3" t="s">
        <v>64</v>
      </c>
      <c r="BK1" s="3" t="s">
        <v>65</v>
      </c>
      <c r="BL1" s="3" t="s">
        <v>66</v>
      </c>
      <c r="BM1" s="3" t="s">
        <v>67</v>
      </c>
    </row>
    <row r="2" spans="1:65" ht="15.75" customHeight="1" x14ac:dyDescent="0.3">
      <c r="A2" s="1" t="s">
        <v>73</v>
      </c>
      <c r="B2" s="1" t="s">
        <v>74</v>
      </c>
      <c r="C2" s="1" t="s">
        <v>75</v>
      </c>
      <c r="D2" s="1" t="s">
        <v>76</v>
      </c>
      <c r="E2" s="4">
        <v>2024</v>
      </c>
      <c r="F2" s="5">
        <v>10</v>
      </c>
      <c r="G2" s="5">
        <v>8</v>
      </c>
      <c r="H2" s="6">
        <v>45573</v>
      </c>
      <c r="I2" s="26">
        <v>20241008</v>
      </c>
      <c r="J2" s="4" t="s">
        <v>77</v>
      </c>
      <c r="K2" s="4" t="s">
        <v>78</v>
      </c>
      <c r="L2" s="4" t="s">
        <v>79</v>
      </c>
      <c r="M2" s="4" t="s">
        <v>80</v>
      </c>
      <c r="N2" s="4" t="s">
        <v>81</v>
      </c>
      <c r="O2" s="4" t="s">
        <v>82</v>
      </c>
      <c r="P2" s="4"/>
      <c r="Q2" s="4" t="s">
        <v>83</v>
      </c>
      <c r="R2" s="1" t="s">
        <v>84</v>
      </c>
      <c r="S2" s="1" t="s">
        <v>84</v>
      </c>
      <c r="T2" s="1" t="s">
        <v>83</v>
      </c>
      <c r="U2" s="1" t="s">
        <v>83</v>
      </c>
      <c r="V2" s="1" t="s">
        <v>83</v>
      </c>
      <c r="W2" s="1" t="s">
        <v>83</v>
      </c>
      <c r="X2" s="1" t="s">
        <v>83</v>
      </c>
      <c r="Y2" s="1" t="s">
        <v>84</v>
      </c>
      <c r="Z2" s="1" t="s">
        <v>84</v>
      </c>
      <c r="AA2" s="1" t="s">
        <v>84</v>
      </c>
      <c r="AB2" s="1" t="s">
        <v>83</v>
      </c>
      <c r="AC2" s="1" t="s">
        <v>84</v>
      </c>
      <c r="AD2" s="1" t="s">
        <v>84</v>
      </c>
      <c r="AE2" s="1" t="s">
        <v>84</v>
      </c>
      <c r="AF2" s="1" t="s">
        <v>84</v>
      </c>
      <c r="AG2" s="1" t="s">
        <v>84</v>
      </c>
      <c r="AH2" s="4" t="s">
        <v>83</v>
      </c>
      <c r="AI2" s="4" t="s">
        <v>83</v>
      </c>
      <c r="AJ2" s="4" t="s">
        <v>83</v>
      </c>
      <c r="AK2" s="4" t="s">
        <v>83</v>
      </c>
      <c r="AL2" s="4" t="s">
        <v>85</v>
      </c>
      <c r="AM2" s="4">
        <v>2500</v>
      </c>
      <c r="AN2" s="4">
        <v>0</v>
      </c>
      <c r="AO2" s="4" t="s">
        <v>86</v>
      </c>
      <c r="AP2" s="5">
        <v>1.7160000000000002E-2</v>
      </c>
      <c r="AQ2" s="4" t="s">
        <v>87</v>
      </c>
      <c r="AR2" s="4" t="s">
        <v>88</v>
      </c>
      <c r="AS2" s="4" t="s">
        <v>89</v>
      </c>
      <c r="AT2" s="4" t="s">
        <v>90</v>
      </c>
      <c r="AU2" s="4" t="s">
        <v>91</v>
      </c>
      <c r="AV2" s="4"/>
      <c r="AW2" s="4"/>
      <c r="AX2" s="5">
        <v>400</v>
      </c>
      <c r="AY2" s="5">
        <v>8</v>
      </c>
      <c r="AZ2" s="5">
        <v>0.5</v>
      </c>
      <c r="BA2" s="5">
        <v>1</v>
      </c>
      <c r="BB2" s="5">
        <v>241206</v>
      </c>
      <c r="BC2" s="5">
        <v>0.91500000000000004</v>
      </c>
      <c r="BD2" s="5">
        <v>0.75900000000000001</v>
      </c>
      <c r="BE2" s="5">
        <v>0.95899999999999996</v>
      </c>
      <c r="BF2" s="5">
        <v>0.70499999999999996</v>
      </c>
      <c r="BG2" s="5">
        <v>0.90500000000000003</v>
      </c>
      <c r="BH2" s="5">
        <v>0.98899999999999999</v>
      </c>
      <c r="BI2" s="5">
        <v>500</v>
      </c>
      <c r="BJ2" s="5" t="s">
        <v>85</v>
      </c>
      <c r="BK2" s="5"/>
      <c r="BL2" s="5"/>
      <c r="BM2" s="4"/>
    </row>
    <row r="3" spans="1:65" ht="15.75" customHeight="1" x14ac:dyDescent="0.3">
      <c r="A3" s="1" t="s">
        <v>73</v>
      </c>
      <c r="B3" s="1" t="s">
        <v>74</v>
      </c>
      <c r="C3" s="1" t="s">
        <v>75</v>
      </c>
      <c r="D3" s="1" t="s">
        <v>92</v>
      </c>
      <c r="E3" s="1">
        <v>2024</v>
      </c>
      <c r="F3" s="1">
        <v>8</v>
      </c>
      <c r="G3" s="1">
        <v>13</v>
      </c>
      <c r="H3" s="7">
        <v>45517</v>
      </c>
      <c r="I3" s="27">
        <v>20240813</v>
      </c>
      <c r="J3" s="1" t="s">
        <v>92</v>
      </c>
      <c r="K3" s="1" t="s">
        <v>78</v>
      </c>
      <c r="L3" s="1" t="s">
        <v>79</v>
      </c>
      <c r="M3" s="1" t="s">
        <v>80</v>
      </c>
      <c r="N3" s="1" t="s">
        <v>81</v>
      </c>
      <c r="O3" s="1" t="s">
        <v>82</v>
      </c>
      <c r="P3" s="1"/>
      <c r="Q3" s="1" t="s">
        <v>83</v>
      </c>
      <c r="R3" s="1" t="s">
        <v>84</v>
      </c>
      <c r="S3" s="1" t="s">
        <v>84</v>
      </c>
      <c r="T3" s="1" t="s">
        <v>83</v>
      </c>
      <c r="U3" s="1" t="s">
        <v>83</v>
      </c>
      <c r="V3" s="1" t="s">
        <v>83</v>
      </c>
      <c r="W3" s="1" t="s">
        <v>83</v>
      </c>
      <c r="X3" s="1" t="s">
        <v>83</v>
      </c>
      <c r="Y3" s="1" t="s">
        <v>84</v>
      </c>
      <c r="Z3" s="1" t="s">
        <v>84</v>
      </c>
      <c r="AA3" s="1" t="s">
        <v>84</v>
      </c>
      <c r="AB3" s="1" t="s">
        <v>83</v>
      </c>
      <c r="AC3" s="1" t="s">
        <v>84</v>
      </c>
      <c r="AD3" s="1" t="s">
        <v>84</v>
      </c>
      <c r="AE3" s="1" t="s">
        <v>84</v>
      </c>
      <c r="AF3" s="1" t="s">
        <v>84</v>
      </c>
      <c r="AG3" s="1" t="s">
        <v>84</v>
      </c>
      <c r="AH3" s="1" t="s">
        <v>83</v>
      </c>
      <c r="AI3" s="4" t="s">
        <v>83</v>
      </c>
      <c r="AJ3" s="4" t="s">
        <v>83</v>
      </c>
      <c r="AK3" s="4" t="s">
        <v>83</v>
      </c>
      <c r="AL3" s="4" t="s">
        <v>85</v>
      </c>
      <c r="AM3" s="1">
        <v>1726</v>
      </c>
      <c r="AN3" s="4">
        <v>0</v>
      </c>
      <c r="AO3" s="1" t="s">
        <v>86</v>
      </c>
      <c r="AP3" s="1">
        <v>5.0860000000000002E-2</v>
      </c>
      <c r="AQ3" s="1" t="s">
        <v>87</v>
      </c>
      <c r="AR3" s="1" t="s">
        <v>88</v>
      </c>
      <c r="AS3" s="1" t="s">
        <v>89</v>
      </c>
      <c r="AT3" s="1" t="s">
        <v>90</v>
      </c>
      <c r="AU3" s="1"/>
      <c r="AV3" s="1"/>
      <c r="AW3" s="1"/>
      <c r="AX3" s="1">
        <v>100</v>
      </c>
      <c r="AY3" s="1">
        <v>9</v>
      </c>
      <c r="AZ3" s="1">
        <v>0.5</v>
      </c>
      <c r="BA3" s="1">
        <v>1</v>
      </c>
      <c r="BB3" s="1">
        <v>241206</v>
      </c>
      <c r="BC3" s="1">
        <v>0.83399999999999996</v>
      </c>
      <c r="BD3" s="1">
        <v>0.65200000000000002</v>
      </c>
      <c r="BE3" s="1">
        <v>0.873</v>
      </c>
      <c r="BF3" s="1">
        <v>0.71199999999999997</v>
      </c>
      <c r="BG3" s="1">
        <v>0.81299999999999994</v>
      </c>
      <c r="BH3" s="1">
        <v>0.92400000000000004</v>
      </c>
      <c r="BI3" s="1">
        <v>500</v>
      </c>
      <c r="BJ3" s="5" t="s">
        <v>85</v>
      </c>
      <c r="BK3" s="1"/>
      <c r="BL3" s="1"/>
    </row>
    <row r="4" spans="1:65" ht="15.75" customHeight="1" x14ac:dyDescent="0.3">
      <c r="A4" s="1" t="s">
        <v>73</v>
      </c>
      <c r="B4" s="1" t="s">
        <v>74</v>
      </c>
      <c r="C4" s="1" t="s">
        <v>75</v>
      </c>
      <c r="D4" s="1" t="s">
        <v>76</v>
      </c>
      <c r="E4" s="4">
        <v>2023</v>
      </c>
      <c r="F4" s="5">
        <v>8</v>
      </c>
      <c r="G4" s="5">
        <v>24</v>
      </c>
      <c r="H4" s="6">
        <v>45162</v>
      </c>
      <c r="I4" s="26">
        <v>20230824</v>
      </c>
      <c r="J4" s="4" t="s">
        <v>77</v>
      </c>
      <c r="K4" s="4" t="s">
        <v>78</v>
      </c>
      <c r="L4" s="4" t="s">
        <v>79</v>
      </c>
      <c r="M4" s="4" t="s">
        <v>80</v>
      </c>
      <c r="N4" s="4" t="s">
        <v>81</v>
      </c>
      <c r="O4" s="4" t="s">
        <v>82</v>
      </c>
      <c r="P4" s="4"/>
      <c r="Q4" s="4" t="s">
        <v>83</v>
      </c>
      <c r="R4" s="1" t="s">
        <v>84</v>
      </c>
      <c r="S4" s="1" t="s">
        <v>84</v>
      </c>
      <c r="T4" s="1" t="s">
        <v>83</v>
      </c>
      <c r="U4" s="1" t="s">
        <v>83</v>
      </c>
      <c r="V4" s="1" t="s">
        <v>83</v>
      </c>
      <c r="W4" s="1" t="s">
        <v>83</v>
      </c>
      <c r="X4" s="1" t="s">
        <v>83</v>
      </c>
      <c r="Y4" s="1" t="s">
        <v>84</v>
      </c>
      <c r="Z4" s="1" t="s">
        <v>84</v>
      </c>
      <c r="AA4" s="1" t="s">
        <v>84</v>
      </c>
      <c r="AB4" s="1" t="s">
        <v>83</v>
      </c>
      <c r="AC4" s="1" t="s">
        <v>84</v>
      </c>
      <c r="AD4" s="1" t="s">
        <v>84</v>
      </c>
      <c r="AE4" s="1" t="s">
        <v>84</v>
      </c>
      <c r="AF4" s="1" t="s">
        <v>84</v>
      </c>
      <c r="AG4" s="1" t="s">
        <v>84</v>
      </c>
      <c r="AH4" s="4" t="s">
        <v>83</v>
      </c>
      <c r="AI4" s="4" t="s">
        <v>83</v>
      </c>
      <c r="AJ4" s="4" t="s">
        <v>83</v>
      </c>
      <c r="AK4" s="4" t="s">
        <v>83</v>
      </c>
      <c r="AL4" s="4" t="s">
        <v>85</v>
      </c>
      <c r="AM4" s="4">
        <v>2500</v>
      </c>
      <c r="AN4" s="4">
        <v>0</v>
      </c>
      <c r="AO4" s="4" t="s">
        <v>86</v>
      </c>
      <c r="AP4" s="5">
        <v>0.02</v>
      </c>
      <c r="AQ4" s="4" t="s">
        <v>87</v>
      </c>
      <c r="AR4" s="4" t="s">
        <v>88</v>
      </c>
      <c r="AS4" s="4" t="s">
        <v>89</v>
      </c>
      <c r="AT4" s="4" t="s">
        <v>93</v>
      </c>
      <c r="AU4" s="4" t="s">
        <v>94</v>
      </c>
      <c r="AV4" s="4"/>
      <c r="AW4" s="4"/>
      <c r="AX4" s="5">
        <v>100</v>
      </c>
      <c r="AY4" s="5">
        <v>2</v>
      </c>
      <c r="AZ4" s="5">
        <v>0.5</v>
      </c>
      <c r="BA4" s="5">
        <v>1</v>
      </c>
      <c r="BB4" s="5">
        <v>241206</v>
      </c>
      <c r="BC4" s="5">
        <v>0.9</v>
      </c>
      <c r="BD4" s="5">
        <v>0.65400000000000003</v>
      </c>
      <c r="BE4" s="5">
        <v>0.98399999999999999</v>
      </c>
      <c r="BF4" s="5">
        <v>0.55500000000000005</v>
      </c>
      <c r="BG4" s="5">
        <v>0.88800000000000001</v>
      </c>
      <c r="BH4" s="5">
        <v>0.997</v>
      </c>
      <c r="BI4" s="5">
        <v>500</v>
      </c>
      <c r="BJ4" s="5" t="s">
        <v>85</v>
      </c>
      <c r="BK4" s="5"/>
      <c r="BL4" s="5"/>
      <c r="BM4" s="4"/>
    </row>
    <row r="5" spans="1:65" ht="15.75" customHeight="1" x14ac:dyDescent="0.3">
      <c r="A5" s="1" t="s">
        <v>73</v>
      </c>
      <c r="B5" s="1" t="s">
        <v>74</v>
      </c>
      <c r="C5" s="1" t="s">
        <v>75</v>
      </c>
      <c r="D5" s="1" t="s">
        <v>92</v>
      </c>
      <c r="E5" s="1">
        <v>2023</v>
      </c>
      <c r="F5" s="1">
        <v>3</v>
      </c>
      <c r="G5" s="1">
        <v>2</v>
      </c>
      <c r="H5" s="7">
        <v>44987</v>
      </c>
      <c r="I5" s="27">
        <v>20230302</v>
      </c>
      <c r="J5" s="1" t="s">
        <v>92</v>
      </c>
      <c r="K5" s="1" t="s">
        <v>78</v>
      </c>
      <c r="L5" s="1" t="s">
        <v>79</v>
      </c>
      <c r="M5" s="1" t="s">
        <v>80</v>
      </c>
      <c r="N5" s="1" t="s">
        <v>81</v>
      </c>
      <c r="O5" s="1" t="s">
        <v>82</v>
      </c>
      <c r="P5" s="1"/>
      <c r="Q5" s="1" t="s">
        <v>83</v>
      </c>
      <c r="R5" s="1" t="s">
        <v>84</v>
      </c>
      <c r="S5" s="1" t="s">
        <v>84</v>
      </c>
      <c r="T5" s="1" t="s">
        <v>83</v>
      </c>
      <c r="U5" s="1" t="s">
        <v>83</v>
      </c>
      <c r="V5" s="1" t="s">
        <v>83</v>
      </c>
      <c r="W5" s="1" t="s">
        <v>83</v>
      </c>
      <c r="X5" s="1" t="s">
        <v>83</v>
      </c>
      <c r="Y5" s="1" t="s">
        <v>84</v>
      </c>
      <c r="Z5" s="1" t="s">
        <v>84</v>
      </c>
      <c r="AA5" s="1" t="s">
        <v>84</v>
      </c>
      <c r="AB5" s="1" t="s">
        <v>83</v>
      </c>
      <c r="AC5" s="1" t="s">
        <v>84</v>
      </c>
      <c r="AD5" s="1" t="s">
        <v>84</v>
      </c>
      <c r="AE5" s="1" t="s">
        <v>84</v>
      </c>
      <c r="AF5" s="1" t="s">
        <v>84</v>
      </c>
      <c r="AG5" s="1" t="s">
        <v>84</v>
      </c>
      <c r="AH5" s="1" t="s">
        <v>83</v>
      </c>
      <c r="AI5" s="4" t="s">
        <v>83</v>
      </c>
      <c r="AJ5" s="4" t="s">
        <v>83</v>
      </c>
      <c r="AK5" s="4" t="s">
        <v>83</v>
      </c>
      <c r="AL5" s="4" t="s">
        <v>85</v>
      </c>
      <c r="AM5" s="1">
        <v>4989</v>
      </c>
      <c r="AN5" s="4">
        <v>0</v>
      </c>
      <c r="AO5" s="1" t="s">
        <v>86</v>
      </c>
      <c r="AP5" s="1">
        <v>2.717E-2</v>
      </c>
      <c r="AQ5" s="1" t="s">
        <v>87</v>
      </c>
      <c r="AR5" s="1" t="s">
        <v>88</v>
      </c>
      <c r="AS5" s="1" t="s">
        <v>89</v>
      </c>
      <c r="AT5" s="1" t="s">
        <v>93</v>
      </c>
      <c r="AU5" s="1"/>
      <c r="AV5" s="1"/>
      <c r="AW5" s="1"/>
      <c r="AX5" s="1">
        <v>500</v>
      </c>
      <c r="AY5" s="1">
        <v>10</v>
      </c>
      <c r="AZ5" s="1">
        <v>0.5</v>
      </c>
      <c r="BA5" s="1">
        <v>1</v>
      </c>
      <c r="BB5" s="1">
        <v>241204</v>
      </c>
      <c r="BC5" s="1">
        <v>0.89</v>
      </c>
      <c r="BD5" s="1">
        <v>0.70199999999999996</v>
      </c>
      <c r="BE5" s="1">
        <v>0.84699999999999998</v>
      </c>
      <c r="BF5" s="1">
        <v>0.71199999999999997</v>
      </c>
      <c r="BG5" s="1">
        <v>0.90300000000000002</v>
      </c>
      <c r="BH5" s="1">
        <v>0.95399999999999996</v>
      </c>
      <c r="BI5" s="1">
        <v>500</v>
      </c>
      <c r="BJ5" s="5" t="s">
        <v>85</v>
      </c>
      <c r="BK5" s="1"/>
      <c r="BL5" s="1"/>
    </row>
    <row r="6" spans="1:65" ht="15.75" customHeight="1" x14ac:dyDescent="0.3">
      <c r="A6" s="1" t="s">
        <v>73</v>
      </c>
      <c r="B6" s="1" t="s">
        <v>74</v>
      </c>
      <c r="C6" s="1" t="s">
        <v>75</v>
      </c>
      <c r="D6" s="1" t="s">
        <v>92</v>
      </c>
      <c r="E6" s="1">
        <v>2023</v>
      </c>
      <c r="F6" s="1">
        <v>4</v>
      </c>
      <c r="G6" s="1">
        <v>28</v>
      </c>
      <c r="H6" s="7">
        <v>45044</v>
      </c>
      <c r="I6" s="27">
        <v>20230428</v>
      </c>
      <c r="J6" s="1" t="s">
        <v>92</v>
      </c>
      <c r="K6" s="1" t="s">
        <v>95</v>
      </c>
      <c r="L6" s="1" t="s">
        <v>79</v>
      </c>
      <c r="M6" s="1" t="s">
        <v>81</v>
      </c>
      <c r="N6" s="1" t="s">
        <v>96</v>
      </c>
      <c r="O6" s="1" t="s">
        <v>96</v>
      </c>
      <c r="P6" s="1"/>
      <c r="Q6" s="1" t="s">
        <v>84</v>
      </c>
      <c r="R6" s="1" t="s">
        <v>84</v>
      </c>
      <c r="S6" s="1" t="s">
        <v>84</v>
      </c>
      <c r="T6" s="1" t="s">
        <v>83</v>
      </c>
      <c r="U6" s="1" t="s">
        <v>83</v>
      </c>
      <c r="V6" s="1" t="s">
        <v>83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83</v>
      </c>
      <c r="AI6" s="4" t="s">
        <v>83</v>
      </c>
      <c r="AJ6" s="4" t="s">
        <v>83</v>
      </c>
      <c r="AK6" s="4" t="s">
        <v>83</v>
      </c>
      <c r="AL6" s="4" t="s">
        <v>85</v>
      </c>
      <c r="AM6" s="1">
        <v>1250</v>
      </c>
      <c r="AN6" s="4">
        <v>0</v>
      </c>
      <c r="AO6" s="1" t="s">
        <v>86</v>
      </c>
      <c r="AP6" s="1">
        <v>1.389E-2</v>
      </c>
      <c r="AQ6" s="1" t="s">
        <v>87</v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5" t="s">
        <v>85</v>
      </c>
      <c r="BK6" s="1"/>
      <c r="BL6" s="1"/>
    </row>
    <row r="7" spans="1:65" ht="15.75" customHeight="1" x14ac:dyDescent="0.3">
      <c r="A7" s="1" t="s">
        <v>73</v>
      </c>
      <c r="B7" s="1" t="s">
        <v>74</v>
      </c>
      <c r="C7" s="1" t="s">
        <v>75</v>
      </c>
      <c r="D7" s="1" t="s">
        <v>92</v>
      </c>
      <c r="E7" s="1">
        <v>2023</v>
      </c>
      <c r="F7" s="1">
        <v>8</v>
      </c>
      <c r="G7" s="1">
        <v>8</v>
      </c>
      <c r="H7" s="7">
        <v>45146</v>
      </c>
      <c r="I7" s="27">
        <v>20230808</v>
      </c>
      <c r="J7" s="1" t="s">
        <v>92</v>
      </c>
      <c r="K7" s="1" t="s">
        <v>78</v>
      </c>
      <c r="L7" s="1" t="s">
        <v>79</v>
      </c>
      <c r="M7" s="1" t="s">
        <v>80</v>
      </c>
      <c r="N7" s="1" t="s">
        <v>81</v>
      </c>
      <c r="O7" s="1" t="s">
        <v>82</v>
      </c>
      <c r="P7" s="1"/>
      <c r="Q7" s="1" t="s">
        <v>84</v>
      </c>
      <c r="R7" s="1" t="s">
        <v>84</v>
      </c>
      <c r="S7" s="1" t="s">
        <v>84</v>
      </c>
      <c r="T7" s="1" t="s">
        <v>83</v>
      </c>
      <c r="U7" s="1" t="s">
        <v>83</v>
      </c>
      <c r="V7" s="1" t="s">
        <v>83</v>
      </c>
      <c r="W7" s="1" t="s">
        <v>83</v>
      </c>
      <c r="X7" s="1" t="s">
        <v>83</v>
      </c>
      <c r="Y7" s="1" t="s">
        <v>84</v>
      </c>
      <c r="Z7" s="1" t="s">
        <v>84</v>
      </c>
      <c r="AA7" s="1" t="s">
        <v>84</v>
      </c>
      <c r="AB7" s="1" t="s">
        <v>83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83</v>
      </c>
      <c r="AI7" s="4" t="s">
        <v>83</v>
      </c>
      <c r="AJ7" s="4" t="s">
        <v>83</v>
      </c>
      <c r="AK7" s="4" t="s">
        <v>83</v>
      </c>
      <c r="AL7" s="4" t="s">
        <v>85</v>
      </c>
      <c r="AM7" s="1">
        <v>4989</v>
      </c>
      <c r="AN7" s="4">
        <v>0</v>
      </c>
      <c r="AO7" s="1" t="s">
        <v>86</v>
      </c>
      <c r="AP7" s="1">
        <v>2.571E-2</v>
      </c>
      <c r="AQ7" s="1" t="s">
        <v>87</v>
      </c>
      <c r="AR7" s="1" t="s">
        <v>88</v>
      </c>
      <c r="AS7" s="1" t="s">
        <v>89</v>
      </c>
      <c r="AT7" s="1" t="s">
        <v>93</v>
      </c>
      <c r="AU7" s="1"/>
      <c r="AV7" s="1"/>
      <c r="AW7" s="1"/>
      <c r="AX7" s="1">
        <v>100</v>
      </c>
      <c r="AY7" s="1">
        <v>2</v>
      </c>
      <c r="AZ7" s="1">
        <v>0.5</v>
      </c>
      <c r="BA7" s="1">
        <v>1</v>
      </c>
      <c r="BB7" s="1">
        <v>241206</v>
      </c>
      <c r="BC7" s="1">
        <v>0.85</v>
      </c>
      <c r="BD7" s="1">
        <v>0.66</v>
      </c>
      <c r="BE7" s="1">
        <v>0.84</v>
      </c>
      <c r="BF7" s="1">
        <v>0.71199999999999997</v>
      </c>
      <c r="BG7" s="1">
        <v>0.85399999999999998</v>
      </c>
      <c r="BH7" s="1">
        <v>0.92600000000000005</v>
      </c>
      <c r="BI7" s="1">
        <v>500</v>
      </c>
      <c r="BJ7" s="5" t="s">
        <v>85</v>
      </c>
      <c r="BK7" s="1"/>
      <c r="BL7" s="1"/>
      <c r="BM7" s="1" t="s">
        <v>97</v>
      </c>
    </row>
    <row r="8" spans="1:65" ht="15.75" customHeight="1" x14ac:dyDescent="0.3">
      <c r="A8" s="1" t="s">
        <v>73</v>
      </c>
      <c r="B8" s="1" t="s">
        <v>74</v>
      </c>
      <c r="C8" s="1" t="s">
        <v>75</v>
      </c>
      <c r="D8" s="1" t="s">
        <v>76</v>
      </c>
      <c r="E8" s="4">
        <v>2022</v>
      </c>
      <c r="F8" s="5">
        <v>9</v>
      </c>
      <c r="G8" s="5">
        <v>2</v>
      </c>
      <c r="H8" s="6">
        <v>44806</v>
      </c>
      <c r="I8" s="26">
        <v>20220902</v>
      </c>
      <c r="J8" s="4" t="s">
        <v>77</v>
      </c>
      <c r="K8" s="4" t="s">
        <v>98</v>
      </c>
      <c r="L8" s="4" t="s">
        <v>79</v>
      </c>
      <c r="M8" s="4" t="s">
        <v>80</v>
      </c>
      <c r="N8" s="4" t="s">
        <v>99</v>
      </c>
      <c r="O8" s="4"/>
      <c r="P8" s="4"/>
      <c r="Q8" s="4" t="s">
        <v>83</v>
      </c>
      <c r="R8" s="1" t="s">
        <v>84</v>
      </c>
      <c r="S8" s="1" t="s">
        <v>84</v>
      </c>
      <c r="T8" s="1" t="s">
        <v>83</v>
      </c>
      <c r="U8" s="1" t="s">
        <v>84</v>
      </c>
      <c r="V8" s="1" t="s">
        <v>84</v>
      </c>
      <c r="W8" s="1" t="s">
        <v>83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4" t="s">
        <v>83</v>
      </c>
      <c r="AI8" s="4" t="s">
        <v>83</v>
      </c>
      <c r="AJ8" s="4" t="s">
        <v>83</v>
      </c>
      <c r="AK8" s="4" t="s">
        <v>83</v>
      </c>
      <c r="AL8" s="4" t="s">
        <v>85</v>
      </c>
      <c r="AM8" s="4">
        <v>2500</v>
      </c>
      <c r="AN8" s="4">
        <v>0</v>
      </c>
      <c r="AO8" s="4" t="s">
        <v>86</v>
      </c>
      <c r="AP8" s="5">
        <v>1.9390000000000001E-2</v>
      </c>
      <c r="AQ8" s="4" t="s">
        <v>87</v>
      </c>
      <c r="AR8" s="4" t="s">
        <v>88</v>
      </c>
      <c r="AS8" s="4" t="s">
        <v>89</v>
      </c>
      <c r="AT8" s="4" t="s">
        <v>90</v>
      </c>
      <c r="AU8" s="4" t="s">
        <v>91</v>
      </c>
      <c r="AV8" s="4"/>
      <c r="AW8" s="4"/>
      <c r="AX8" s="5">
        <v>200</v>
      </c>
      <c r="AY8" s="5">
        <v>7</v>
      </c>
      <c r="AZ8" s="5">
        <v>0.5</v>
      </c>
      <c r="BA8" s="5">
        <v>1</v>
      </c>
      <c r="BB8" s="5">
        <v>241215</v>
      </c>
      <c r="BC8" s="5">
        <v>0.9</v>
      </c>
      <c r="BD8" s="5">
        <v>0.69599999999999995</v>
      </c>
      <c r="BE8" s="5">
        <v>0.92700000000000005</v>
      </c>
      <c r="BF8" s="5">
        <v>0.63900000000000001</v>
      </c>
      <c r="BG8" s="5">
        <v>0.89500000000000002</v>
      </c>
      <c r="BH8" s="5">
        <v>0.98399999999999999</v>
      </c>
      <c r="BI8" s="5">
        <v>500</v>
      </c>
      <c r="BJ8" s="5" t="s">
        <v>85</v>
      </c>
      <c r="BK8" s="5"/>
      <c r="BL8" s="5"/>
      <c r="BM8" s="4" t="s">
        <v>100</v>
      </c>
    </row>
    <row r="9" spans="1:65" ht="15.75" customHeight="1" x14ac:dyDescent="0.3">
      <c r="A9" s="1" t="s">
        <v>73</v>
      </c>
      <c r="B9" s="1" t="s">
        <v>74</v>
      </c>
      <c r="C9" s="1" t="s">
        <v>75</v>
      </c>
      <c r="D9" s="1" t="s">
        <v>92</v>
      </c>
      <c r="E9" s="4">
        <v>2022</v>
      </c>
      <c r="F9" s="4">
        <v>6</v>
      </c>
      <c r="G9" s="1">
        <v>10</v>
      </c>
      <c r="H9" s="1">
        <v>220610</v>
      </c>
      <c r="I9" s="27">
        <v>20220610</v>
      </c>
      <c r="J9" s="1" t="s">
        <v>92</v>
      </c>
      <c r="K9" s="1" t="s">
        <v>95</v>
      </c>
      <c r="L9" s="1" t="s">
        <v>79</v>
      </c>
      <c r="M9" s="1" t="s">
        <v>96</v>
      </c>
      <c r="N9" s="1" t="s">
        <v>81</v>
      </c>
      <c r="O9" s="1"/>
      <c r="P9" s="1"/>
      <c r="Q9" s="1" t="s">
        <v>84</v>
      </c>
      <c r="R9" s="1" t="s">
        <v>84</v>
      </c>
      <c r="S9" s="1" t="s">
        <v>84</v>
      </c>
      <c r="T9" s="1" t="s">
        <v>83</v>
      </c>
      <c r="U9" s="1" t="s">
        <v>83</v>
      </c>
      <c r="V9" s="1" t="s">
        <v>83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83</v>
      </c>
      <c r="AI9" s="4" t="s">
        <v>83</v>
      </c>
      <c r="AJ9" s="4" t="s">
        <v>83</v>
      </c>
      <c r="AK9" s="4" t="s">
        <v>83</v>
      </c>
      <c r="AL9" s="4" t="s">
        <v>85</v>
      </c>
      <c r="AM9" s="1">
        <v>1250</v>
      </c>
      <c r="AN9" s="4">
        <v>0</v>
      </c>
      <c r="AO9" s="1" t="s">
        <v>86</v>
      </c>
      <c r="AP9" s="1">
        <v>1.4160000000000001E-2</v>
      </c>
      <c r="AQ9" s="1" t="s">
        <v>87</v>
      </c>
      <c r="AR9" s="1" t="s">
        <v>88</v>
      </c>
      <c r="AS9" s="1" t="s">
        <v>89</v>
      </c>
      <c r="AT9" s="1"/>
      <c r="AU9" s="1"/>
      <c r="AV9" s="1"/>
      <c r="AW9" s="1"/>
      <c r="AX9" s="1">
        <v>100</v>
      </c>
      <c r="AY9" s="1">
        <v>4</v>
      </c>
      <c r="AZ9" s="1">
        <v>0.5</v>
      </c>
      <c r="BA9" s="1">
        <v>1</v>
      </c>
      <c r="BB9" s="1">
        <v>241220</v>
      </c>
      <c r="BC9" s="1">
        <v>0.95</v>
      </c>
      <c r="BD9" s="1">
        <v>0.53900000000000003</v>
      </c>
      <c r="BE9" s="1">
        <v>0.94099999999999995</v>
      </c>
      <c r="BF9" s="1">
        <v>0.4</v>
      </c>
      <c r="BG9" s="1">
        <v>0.95</v>
      </c>
      <c r="BH9" s="1">
        <v>0.998</v>
      </c>
      <c r="BI9" s="1">
        <v>500</v>
      </c>
      <c r="BJ9" s="5" t="s">
        <v>85</v>
      </c>
      <c r="BK9" s="1"/>
      <c r="BL9" s="1"/>
    </row>
    <row r="10" spans="1:65" ht="15.75" customHeight="1" x14ac:dyDescent="0.3">
      <c r="A10" s="1" t="s">
        <v>73</v>
      </c>
      <c r="B10" s="1" t="s">
        <v>74</v>
      </c>
      <c r="C10" s="1" t="s">
        <v>75</v>
      </c>
      <c r="D10" s="1" t="s">
        <v>92</v>
      </c>
      <c r="E10" s="4">
        <v>2022</v>
      </c>
      <c r="F10" s="4">
        <v>9</v>
      </c>
      <c r="G10" s="1">
        <v>30</v>
      </c>
      <c r="H10" s="1">
        <v>220930</v>
      </c>
      <c r="I10" s="27">
        <v>20220930</v>
      </c>
      <c r="J10" s="1" t="s">
        <v>92</v>
      </c>
      <c r="K10" s="1" t="s">
        <v>95</v>
      </c>
      <c r="L10" s="1" t="s">
        <v>79</v>
      </c>
      <c r="M10" s="1" t="s">
        <v>96</v>
      </c>
      <c r="N10" s="1" t="s">
        <v>81</v>
      </c>
      <c r="O10" s="1"/>
      <c r="P10" s="1"/>
      <c r="Q10" s="1" t="s">
        <v>83</v>
      </c>
      <c r="R10" s="1" t="s">
        <v>84</v>
      </c>
      <c r="S10" s="1" t="s">
        <v>84</v>
      </c>
      <c r="T10" s="1" t="s">
        <v>83</v>
      </c>
      <c r="U10" s="1" t="s">
        <v>83</v>
      </c>
      <c r="V10" s="1" t="s">
        <v>83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83</v>
      </c>
      <c r="AI10" s="4" t="s">
        <v>83</v>
      </c>
      <c r="AJ10" s="4" t="s">
        <v>83</v>
      </c>
      <c r="AK10" s="4" t="s">
        <v>83</v>
      </c>
      <c r="AL10" s="4" t="s">
        <v>85</v>
      </c>
      <c r="AM10" s="1">
        <v>4990</v>
      </c>
      <c r="AN10" s="4">
        <v>0</v>
      </c>
      <c r="AO10" s="1" t="s">
        <v>86</v>
      </c>
      <c r="AP10" s="1">
        <v>2.5829999999999999E-2</v>
      </c>
      <c r="AQ10" s="1" t="s">
        <v>87</v>
      </c>
      <c r="AR10" s="1" t="s">
        <v>88</v>
      </c>
      <c r="AS10" s="1" t="s">
        <v>89</v>
      </c>
      <c r="AT10" s="1"/>
      <c r="AU10" s="1"/>
      <c r="AV10" s="1"/>
      <c r="AW10" s="1"/>
      <c r="AX10" s="1">
        <v>200</v>
      </c>
      <c r="AY10" s="1">
        <v>3</v>
      </c>
      <c r="AZ10" s="1">
        <v>0.5</v>
      </c>
      <c r="BA10" s="1">
        <v>1</v>
      </c>
      <c r="BB10" s="1">
        <v>241204</v>
      </c>
      <c r="BC10" s="1">
        <v>0.90700000000000003</v>
      </c>
      <c r="BD10" s="1">
        <v>0.67100000000000004</v>
      </c>
      <c r="BE10" s="1">
        <v>0.92300000000000004</v>
      </c>
      <c r="BF10" s="1">
        <v>0.59399999999999997</v>
      </c>
      <c r="BG10" s="1">
        <v>0.90600000000000003</v>
      </c>
      <c r="BH10" s="1">
        <v>0.98699999999999999</v>
      </c>
      <c r="BI10" s="1">
        <v>500</v>
      </c>
      <c r="BJ10" s="5" t="s">
        <v>85</v>
      </c>
      <c r="BK10" s="1"/>
      <c r="BL10" s="1"/>
    </row>
    <row r="11" spans="1:65" ht="15.75" customHeight="1" x14ac:dyDescent="0.3">
      <c r="A11" s="1" t="s">
        <v>73</v>
      </c>
      <c r="B11" s="1" t="s">
        <v>74</v>
      </c>
      <c r="C11" s="1" t="s">
        <v>75</v>
      </c>
      <c r="D11" s="1" t="s">
        <v>76</v>
      </c>
      <c r="E11" s="4">
        <v>2021</v>
      </c>
      <c r="F11" s="5">
        <v>8</v>
      </c>
      <c r="G11" s="5">
        <v>26</v>
      </c>
      <c r="H11" s="6">
        <v>44434</v>
      </c>
      <c r="I11" s="26">
        <v>20210826</v>
      </c>
      <c r="J11" s="4" t="s">
        <v>77</v>
      </c>
      <c r="K11" s="4" t="s">
        <v>95</v>
      </c>
      <c r="L11" s="4" t="s">
        <v>79</v>
      </c>
      <c r="M11" s="4" t="s">
        <v>80</v>
      </c>
      <c r="N11" s="4" t="s">
        <v>99</v>
      </c>
      <c r="O11" s="4"/>
      <c r="P11" s="4"/>
      <c r="Q11" s="4" t="s">
        <v>83</v>
      </c>
      <c r="R11" s="1" t="s">
        <v>84</v>
      </c>
      <c r="S11" s="1" t="s">
        <v>84</v>
      </c>
      <c r="T11" s="1" t="s">
        <v>83</v>
      </c>
      <c r="U11" s="1" t="s">
        <v>84</v>
      </c>
      <c r="V11" s="1" t="s">
        <v>84</v>
      </c>
      <c r="W11" s="1" t="s">
        <v>83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4" t="s">
        <v>83</v>
      </c>
      <c r="AI11" s="4" t="s">
        <v>83</v>
      </c>
      <c r="AJ11" s="4" t="s">
        <v>83</v>
      </c>
      <c r="AK11" s="4" t="s">
        <v>83</v>
      </c>
      <c r="AL11" s="4" t="s">
        <v>85</v>
      </c>
      <c r="AM11" s="4">
        <v>4992</v>
      </c>
      <c r="AN11" s="4">
        <v>0</v>
      </c>
      <c r="AO11" s="4" t="s">
        <v>101</v>
      </c>
      <c r="AP11" s="5">
        <v>1.6660000000000001E-2</v>
      </c>
      <c r="AQ11" s="4" t="s">
        <v>87</v>
      </c>
      <c r="AR11" s="4" t="s">
        <v>88</v>
      </c>
      <c r="AS11" s="4" t="s">
        <v>89</v>
      </c>
      <c r="AT11" s="4" t="s">
        <v>93</v>
      </c>
      <c r="AU11" s="4" t="s">
        <v>94</v>
      </c>
      <c r="AV11" s="4"/>
      <c r="AW11" s="4"/>
      <c r="AX11" s="5">
        <v>300</v>
      </c>
      <c r="AY11" s="5">
        <v>6</v>
      </c>
      <c r="AZ11" s="5">
        <v>0.5</v>
      </c>
      <c r="BA11" s="5">
        <v>1</v>
      </c>
      <c r="BB11" s="5">
        <v>241206</v>
      </c>
      <c r="BC11" s="5">
        <v>0.87</v>
      </c>
      <c r="BD11" s="5">
        <v>0.58199999999999996</v>
      </c>
      <c r="BE11" s="5">
        <v>0.79700000000000004</v>
      </c>
      <c r="BF11" s="5">
        <v>0.56299999999999994</v>
      </c>
      <c r="BG11" s="5">
        <v>0.88300000000000001</v>
      </c>
      <c r="BH11" s="5">
        <v>0.95899999999999996</v>
      </c>
      <c r="BI11" s="5">
        <v>500</v>
      </c>
      <c r="BJ11" s="5" t="s">
        <v>85</v>
      </c>
      <c r="BK11" s="5"/>
      <c r="BL11" s="5"/>
      <c r="BM11" s="4"/>
    </row>
    <row r="12" spans="1:65" ht="15.75" customHeight="1" x14ac:dyDescent="0.3">
      <c r="A12" s="1" t="s">
        <v>73</v>
      </c>
      <c r="B12" s="1" t="s">
        <v>74</v>
      </c>
      <c r="C12" s="1" t="s">
        <v>75</v>
      </c>
      <c r="D12" s="1" t="s">
        <v>92</v>
      </c>
      <c r="E12" s="1">
        <v>2021</v>
      </c>
      <c r="F12" s="1">
        <v>12</v>
      </c>
      <c r="G12" s="1">
        <v>1</v>
      </c>
      <c r="H12" s="7">
        <v>44531</v>
      </c>
      <c r="I12" s="27">
        <v>20211201</v>
      </c>
      <c r="J12" s="1" t="s">
        <v>102</v>
      </c>
      <c r="K12" s="1" t="s">
        <v>102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4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>
        <v>241206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5"/>
      <c r="BK12" s="1"/>
      <c r="BL12" s="1"/>
    </row>
    <row r="13" spans="1:65" ht="15.75" customHeight="1" x14ac:dyDescent="0.3">
      <c r="A13" s="1" t="s">
        <v>73</v>
      </c>
      <c r="B13" s="1" t="s">
        <v>74</v>
      </c>
      <c r="C13" s="1" t="s">
        <v>75</v>
      </c>
      <c r="D13" s="1" t="s">
        <v>76</v>
      </c>
      <c r="E13" s="4">
        <v>2020</v>
      </c>
      <c r="F13" s="5">
        <v>9</v>
      </c>
      <c r="G13" s="5">
        <v>23</v>
      </c>
      <c r="H13" s="6">
        <v>44097</v>
      </c>
      <c r="I13" s="26">
        <v>20200923</v>
      </c>
      <c r="J13" s="4" t="s">
        <v>103</v>
      </c>
      <c r="K13" s="4" t="s">
        <v>95</v>
      </c>
      <c r="L13" s="4" t="s">
        <v>79</v>
      </c>
      <c r="M13" s="4" t="s">
        <v>80</v>
      </c>
      <c r="N13" s="4" t="s">
        <v>99</v>
      </c>
      <c r="O13" s="4"/>
      <c r="P13" s="4"/>
      <c r="Q13" s="4" t="s">
        <v>84</v>
      </c>
      <c r="R13" s="1" t="s">
        <v>84</v>
      </c>
      <c r="S13" s="1" t="s">
        <v>84</v>
      </c>
      <c r="T13" s="1" t="s">
        <v>83</v>
      </c>
      <c r="U13" s="1" t="s">
        <v>84</v>
      </c>
      <c r="V13" s="1" t="s">
        <v>84</v>
      </c>
      <c r="W13" s="1" t="s">
        <v>83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4" t="s">
        <v>83</v>
      </c>
      <c r="AI13" s="4" t="s">
        <v>83</v>
      </c>
      <c r="AJ13" s="4" t="s">
        <v>83</v>
      </c>
      <c r="AK13" s="4" t="s">
        <v>83</v>
      </c>
      <c r="AL13" s="4" t="s">
        <v>85</v>
      </c>
      <c r="AM13" s="4">
        <v>5000</v>
      </c>
      <c r="AN13" s="4">
        <v>0</v>
      </c>
      <c r="AO13" s="4" t="s">
        <v>101</v>
      </c>
      <c r="AP13" s="5">
        <v>1.5990000000000001E-2</v>
      </c>
      <c r="AQ13" s="4" t="s">
        <v>87</v>
      </c>
      <c r="AR13" s="4" t="s">
        <v>88</v>
      </c>
      <c r="AS13" s="4" t="s">
        <v>89</v>
      </c>
      <c r="AT13" s="4"/>
      <c r="AU13" s="4"/>
      <c r="AV13" s="4"/>
      <c r="AW13" s="4"/>
      <c r="AX13" s="5">
        <v>100</v>
      </c>
      <c r="AY13" s="5">
        <v>4</v>
      </c>
      <c r="AZ13" s="5">
        <v>0.5</v>
      </c>
      <c r="BA13" s="5">
        <v>1</v>
      </c>
      <c r="BB13" s="5">
        <v>241206</v>
      </c>
      <c r="BC13" s="5">
        <v>0.85</v>
      </c>
      <c r="BD13" s="5">
        <v>0.54700000000000004</v>
      </c>
      <c r="BE13" s="5">
        <v>0.77600000000000002</v>
      </c>
      <c r="BF13" s="5">
        <v>0.54100000000000004</v>
      </c>
      <c r="BG13" s="5">
        <v>0.86499999999999999</v>
      </c>
      <c r="BH13" s="5">
        <v>0.95</v>
      </c>
      <c r="BI13" s="5">
        <v>500</v>
      </c>
      <c r="BJ13" s="5" t="s">
        <v>85</v>
      </c>
      <c r="BK13" s="5"/>
      <c r="BL13" s="5"/>
      <c r="BM13" s="4"/>
    </row>
    <row r="14" spans="1:65" ht="15.75" customHeight="1" x14ac:dyDescent="0.3">
      <c r="A14" s="1" t="s">
        <v>73</v>
      </c>
      <c r="B14" s="1" t="s">
        <v>74</v>
      </c>
      <c r="C14" s="1" t="s">
        <v>75</v>
      </c>
      <c r="D14" s="1" t="s">
        <v>76</v>
      </c>
      <c r="E14" s="4">
        <v>2019</v>
      </c>
      <c r="F14" s="5">
        <v>10</v>
      </c>
      <c r="G14" s="5">
        <v>25</v>
      </c>
      <c r="H14" s="8">
        <v>43763</v>
      </c>
      <c r="I14" s="26">
        <v>20191025</v>
      </c>
      <c r="J14" s="4" t="s">
        <v>103</v>
      </c>
      <c r="K14" s="4" t="s">
        <v>95</v>
      </c>
      <c r="L14" s="4" t="s">
        <v>79</v>
      </c>
      <c r="M14" s="4" t="s">
        <v>80</v>
      </c>
      <c r="N14" s="4" t="s">
        <v>99</v>
      </c>
      <c r="O14" s="4" t="s">
        <v>81</v>
      </c>
      <c r="P14" s="4"/>
      <c r="Q14" s="4" t="s">
        <v>83</v>
      </c>
      <c r="R14" s="1" t="s">
        <v>84</v>
      </c>
      <c r="S14" s="1" t="s">
        <v>84</v>
      </c>
      <c r="T14" s="1" t="s">
        <v>83</v>
      </c>
      <c r="U14" s="1" t="s">
        <v>83</v>
      </c>
      <c r="V14" s="1" t="s">
        <v>83</v>
      </c>
      <c r="W14" s="1" t="s">
        <v>83</v>
      </c>
      <c r="X14" s="1" t="s">
        <v>84</v>
      </c>
      <c r="Y14" s="1" t="s">
        <v>84</v>
      </c>
      <c r="Z14" s="1" t="s">
        <v>84</v>
      </c>
      <c r="AA14" s="1" t="s">
        <v>84</v>
      </c>
      <c r="AB14" s="1" t="s">
        <v>83</v>
      </c>
      <c r="AC14" s="1" t="s">
        <v>84</v>
      </c>
      <c r="AD14" s="1" t="s">
        <v>84</v>
      </c>
      <c r="AE14" s="1" t="s">
        <v>84</v>
      </c>
      <c r="AF14" s="1" t="s">
        <v>84</v>
      </c>
      <c r="AG14" s="1" t="s">
        <v>84</v>
      </c>
      <c r="AH14" s="4" t="s">
        <v>83</v>
      </c>
      <c r="AI14" s="4" t="s">
        <v>83</v>
      </c>
      <c r="AJ14" s="4" t="s">
        <v>83</v>
      </c>
      <c r="AK14" s="4" t="s">
        <v>83</v>
      </c>
      <c r="AL14" s="4" t="s">
        <v>85</v>
      </c>
      <c r="AM14" s="4">
        <v>1810</v>
      </c>
      <c r="AN14" s="4">
        <v>0</v>
      </c>
      <c r="AO14" s="4" t="s">
        <v>101</v>
      </c>
      <c r="AP14" s="5">
        <v>0.02</v>
      </c>
      <c r="AQ14" s="4" t="s">
        <v>87</v>
      </c>
      <c r="AR14" s="4" t="s">
        <v>88</v>
      </c>
      <c r="AS14" s="4" t="s">
        <v>89</v>
      </c>
      <c r="AT14" s="4" t="s">
        <v>93</v>
      </c>
      <c r="AU14" s="4"/>
      <c r="AV14" s="4"/>
      <c r="AW14" s="4"/>
      <c r="AX14" s="5">
        <v>100</v>
      </c>
      <c r="AY14" s="5">
        <v>8</v>
      </c>
      <c r="AZ14" s="5">
        <v>0.5</v>
      </c>
      <c r="BA14" s="5">
        <v>1</v>
      </c>
      <c r="BB14" s="5">
        <v>241206</v>
      </c>
      <c r="BC14" s="5">
        <v>0.90400000000000003</v>
      </c>
      <c r="BD14" s="5">
        <v>0.48699999999999999</v>
      </c>
      <c r="BE14" s="5">
        <v>0.93100000000000005</v>
      </c>
      <c r="BF14" s="5">
        <v>0.37</v>
      </c>
      <c r="BG14" s="5">
        <v>0.90200000000000002</v>
      </c>
      <c r="BH14" s="5">
        <v>0.995</v>
      </c>
      <c r="BI14" s="5">
        <v>500</v>
      </c>
      <c r="BJ14" s="5" t="s">
        <v>85</v>
      </c>
      <c r="BK14" s="5"/>
      <c r="BL14" s="5"/>
      <c r="BM14" s="4"/>
    </row>
    <row r="15" spans="1:65" ht="15.75" customHeight="1" x14ac:dyDescent="0.3">
      <c r="A15" s="1" t="s">
        <v>73</v>
      </c>
      <c r="B15" s="1" t="s">
        <v>74</v>
      </c>
      <c r="C15" s="1" t="s">
        <v>75</v>
      </c>
      <c r="D15" s="1" t="s">
        <v>76</v>
      </c>
      <c r="E15" s="4">
        <v>2018</v>
      </c>
      <c r="F15" s="5">
        <v>8</v>
      </c>
      <c r="G15" s="5">
        <v>1</v>
      </c>
      <c r="H15" s="6">
        <v>43313</v>
      </c>
      <c r="I15" s="26">
        <v>20180801</v>
      </c>
      <c r="J15" s="4" t="s">
        <v>102</v>
      </c>
      <c r="K15" s="4" t="s">
        <v>102</v>
      </c>
      <c r="L15" s="4"/>
      <c r="M15" s="4"/>
      <c r="N15" s="4"/>
      <c r="O15" s="4"/>
      <c r="P15" s="4"/>
      <c r="Q15" s="4"/>
      <c r="R15" s="4"/>
      <c r="S15" s="4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 t="s">
        <v>88</v>
      </c>
      <c r="AS15" s="4" t="s">
        <v>89</v>
      </c>
      <c r="AT15" s="4"/>
      <c r="AU15" s="4"/>
      <c r="AV15" s="4"/>
      <c r="AW15" s="4"/>
      <c r="AX15" s="4"/>
      <c r="AY15" s="4"/>
      <c r="AZ15" s="4"/>
      <c r="BA15" s="4"/>
      <c r="BB15" s="5">
        <v>180801</v>
      </c>
      <c r="BC15" s="5">
        <v>1</v>
      </c>
      <c r="BD15" s="5">
        <v>1</v>
      </c>
      <c r="BE15" s="5">
        <v>1</v>
      </c>
      <c r="BF15" s="5">
        <v>1</v>
      </c>
      <c r="BG15" s="5">
        <v>1</v>
      </c>
      <c r="BH15" s="5">
        <v>1</v>
      </c>
      <c r="BI15" s="5">
        <v>0</v>
      </c>
      <c r="BJ15" s="5"/>
      <c r="BK15" s="5"/>
      <c r="BL15" s="5"/>
      <c r="BM15" s="4" t="s">
        <v>104</v>
      </c>
    </row>
    <row r="16" spans="1:65" ht="15.75" customHeight="1" x14ac:dyDescent="0.3">
      <c r="A16" s="1" t="s">
        <v>73</v>
      </c>
      <c r="B16" s="1" t="s">
        <v>74</v>
      </c>
      <c r="C16" s="1" t="s">
        <v>75</v>
      </c>
      <c r="D16" s="1" t="s">
        <v>76</v>
      </c>
      <c r="E16" s="1">
        <v>2025</v>
      </c>
      <c r="F16" s="1">
        <v>9</v>
      </c>
      <c r="G16" s="1">
        <v>3</v>
      </c>
      <c r="H16" s="7">
        <v>45903</v>
      </c>
      <c r="I16" s="27">
        <v>20250903</v>
      </c>
      <c r="J16" s="1" t="s">
        <v>77</v>
      </c>
      <c r="K16" s="1" t="s">
        <v>78</v>
      </c>
      <c r="L16" s="4" t="s">
        <v>79</v>
      </c>
      <c r="M16" s="4" t="s">
        <v>79</v>
      </c>
      <c r="N16" s="4" t="s">
        <v>81</v>
      </c>
      <c r="O16" s="4" t="s">
        <v>82</v>
      </c>
      <c r="P16" s="4"/>
      <c r="Q16" s="4" t="s">
        <v>83</v>
      </c>
      <c r="R16" s="4" t="s">
        <v>83</v>
      </c>
      <c r="S16" s="4" t="s">
        <v>84</v>
      </c>
      <c r="T16" s="1" t="s">
        <v>83</v>
      </c>
      <c r="U16" s="1" t="s">
        <v>83</v>
      </c>
      <c r="V16" s="1" t="s">
        <v>83</v>
      </c>
      <c r="W16" s="1" t="s">
        <v>83</v>
      </c>
      <c r="X16" s="1" t="s">
        <v>83</v>
      </c>
      <c r="Y16" s="1" t="s">
        <v>83</v>
      </c>
      <c r="Z16" s="1" t="s">
        <v>84</v>
      </c>
      <c r="AA16" s="1" t="s">
        <v>83</v>
      </c>
      <c r="AB16" s="1" t="s">
        <v>83</v>
      </c>
      <c r="AC16" s="1" t="s">
        <v>83</v>
      </c>
      <c r="AD16" s="1" t="s">
        <v>83</v>
      </c>
      <c r="AE16" s="1" t="s">
        <v>84</v>
      </c>
      <c r="AF16" s="1" t="s">
        <v>84</v>
      </c>
      <c r="AG16" s="1" t="s">
        <v>83</v>
      </c>
      <c r="AH16" s="1" t="s">
        <v>83</v>
      </c>
      <c r="AI16" s="4" t="s">
        <v>83</v>
      </c>
      <c r="AJ16" s="4" t="s">
        <v>83</v>
      </c>
      <c r="AK16" s="4" t="s">
        <v>83</v>
      </c>
      <c r="AL16" s="1" t="s">
        <v>85</v>
      </c>
      <c r="AM16" s="1">
        <v>1226</v>
      </c>
      <c r="AN16" s="1">
        <v>0.5</v>
      </c>
      <c r="AO16" s="4" t="s">
        <v>105</v>
      </c>
      <c r="AQ16" s="4" t="s">
        <v>87</v>
      </c>
      <c r="AR16" s="4" t="s">
        <v>88</v>
      </c>
      <c r="AS16" s="4" t="s">
        <v>89</v>
      </c>
      <c r="AT16" s="4"/>
      <c r="AU16" s="4"/>
      <c r="AV16" s="4"/>
      <c r="AW16" s="4"/>
      <c r="AX16" s="1">
        <v>1000</v>
      </c>
      <c r="AY16" s="1">
        <v>5</v>
      </c>
      <c r="AZ16" s="1">
        <v>0.8</v>
      </c>
      <c r="BA16" s="1">
        <v>1</v>
      </c>
      <c r="BB16" s="1">
        <v>260320</v>
      </c>
    </row>
  </sheetData>
  <dataValidations count="5">
    <dataValidation type="list" allowBlank="1" showErrorMessage="1" sqref="Q2:AK16" xr:uid="{4EF118C1-5BB4-451F-9721-0F8DAB2B8C7A}">
      <formula1>"Yes,No"</formula1>
    </dataValidation>
    <dataValidation type="list" allowBlank="1" sqref="L2:P2 L3 N3:O3 L4:P4 N5:O5 L5:L7 N7:O7 L8:P8 L9:L10 N9:O10 L11:P11 L12 N12:O12 L13:P16" xr:uid="{F8BC4FD9-6F45-4149-B6C5-C488D4E998FD}">
      <formula1>"Red,Green,Blue,Red-edge,Near-Infrared,Elevation"</formula1>
    </dataValidation>
    <dataValidation type="list" allowBlank="1" showErrorMessage="1" sqref="AR2:AW16" xr:uid="{22DF9C14-98D4-4421-B631-E5E1A7D10CCC}">
      <formula1>"Unvegetated,Vegetated,VegetatedWoody,WetSediment,UlvaWrack,Water,Ulva"</formula1>
    </dataValidation>
    <dataValidation type="list" allowBlank="1" showErrorMessage="1" sqref="AQ2:AQ16" xr:uid="{849BB58C-CADD-44F4-A765-9A178D87DD4D}">
      <formula1>"Random Forest,SVM"</formula1>
    </dataValidation>
    <dataValidation type="list" allowBlank="1" sqref="M3 P3 M5 P5 M6:P6 M7 P7 M9:M10 P9:P10 M12 P12" xr:uid="{4A7ED082-092E-48CF-8110-5E4C89BCC588}">
      <formula1>"Red,Green,Blue,Red-edge,Near-Infrared,Elevation,Garbage"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"/>
  <sheetViews>
    <sheetView workbookViewId="0"/>
  </sheetViews>
  <sheetFormatPr defaultColWidth="12.61328125" defaultRowHeight="15.75" customHeight="1" x14ac:dyDescent="0.3"/>
  <sheetData>
    <row r="2" spans="1:1" ht="15.75" customHeight="1" x14ac:dyDescent="0.3">
      <c r="A2" s="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C26"/>
  <sheetViews>
    <sheetView workbookViewId="0">
      <selection activeCell="E13" sqref="E13"/>
    </sheetView>
  </sheetViews>
  <sheetFormatPr defaultColWidth="12.61328125" defaultRowHeight="15.75" customHeight="1" x14ac:dyDescent="0.3"/>
  <sheetData>
    <row r="2" spans="2:3" ht="15.75" customHeight="1" x14ac:dyDescent="0.3">
      <c r="B2" s="1" t="s">
        <v>1</v>
      </c>
    </row>
    <row r="3" spans="2:3" ht="15.75" customHeight="1" x14ac:dyDescent="0.3">
      <c r="B3" s="1" t="s">
        <v>2</v>
      </c>
    </row>
    <row r="4" spans="2:3" ht="15.75" customHeight="1" x14ac:dyDescent="0.3">
      <c r="B4" s="1" t="s">
        <v>3</v>
      </c>
    </row>
    <row r="5" spans="2:3" ht="15.75" customHeight="1" x14ac:dyDescent="0.3">
      <c r="B5" s="1" t="s">
        <v>4</v>
      </c>
    </row>
    <row r="6" spans="2:3" ht="15.75" customHeight="1" x14ac:dyDescent="0.3">
      <c r="B6" s="1" t="s">
        <v>115</v>
      </c>
    </row>
    <row r="7" spans="2:3" ht="15.75" customHeight="1" x14ac:dyDescent="0.3">
      <c r="B7" s="1" t="s">
        <v>137</v>
      </c>
    </row>
    <row r="11" spans="2:3" ht="15.75" customHeight="1" x14ac:dyDescent="0.3">
      <c r="B11" t="s">
        <v>116</v>
      </c>
    </row>
    <row r="13" spans="2:3" ht="15.75" customHeight="1" x14ac:dyDescent="0.3">
      <c r="B13" t="s">
        <v>117</v>
      </c>
      <c r="C13" t="s">
        <v>119</v>
      </c>
    </row>
    <row r="14" spans="2:3" ht="15.75" customHeight="1" x14ac:dyDescent="0.3">
      <c r="B14" t="s">
        <v>121</v>
      </c>
      <c r="C14" t="s">
        <v>120</v>
      </c>
    </row>
    <row r="15" spans="2:3" ht="15.75" customHeight="1" x14ac:dyDescent="0.3">
      <c r="B15" t="s">
        <v>118</v>
      </c>
      <c r="C15" t="s">
        <v>122</v>
      </c>
    </row>
    <row r="17" spans="2:3" ht="15.75" customHeight="1" x14ac:dyDescent="0.3">
      <c r="B17" t="s">
        <v>123</v>
      </c>
      <c r="C17" t="s">
        <v>136</v>
      </c>
    </row>
    <row r="18" spans="2:3" ht="15.75" customHeight="1" x14ac:dyDescent="0.3">
      <c r="B18" t="s">
        <v>124</v>
      </c>
      <c r="C18" t="s">
        <v>135</v>
      </c>
    </row>
    <row r="19" spans="2:3" ht="15.75" customHeight="1" x14ac:dyDescent="0.3">
      <c r="B19" t="s">
        <v>125</v>
      </c>
      <c r="C19" t="s">
        <v>134</v>
      </c>
    </row>
    <row r="20" spans="2:3" ht="15.75" customHeight="1" x14ac:dyDescent="0.3">
      <c r="B20" t="s">
        <v>126</v>
      </c>
      <c r="C20" t="s">
        <v>133</v>
      </c>
    </row>
    <row r="21" spans="2:3" ht="15.75" customHeight="1" x14ac:dyDescent="0.3">
      <c r="B21" t="s">
        <v>127</v>
      </c>
      <c r="C21" t="s">
        <v>132</v>
      </c>
    </row>
    <row r="22" spans="2:3" ht="15.75" customHeight="1" x14ac:dyDescent="0.3">
      <c r="B22" t="s">
        <v>128</v>
      </c>
      <c r="C22" t="s">
        <v>131</v>
      </c>
    </row>
    <row r="23" spans="2:3" ht="15.75" customHeight="1" x14ac:dyDescent="0.3">
      <c r="B23" t="s">
        <v>129</v>
      </c>
      <c r="C23" t="s">
        <v>130</v>
      </c>
    </row>
    <row r="24" spans="2:3" ht="15.75" customHeight="1" x14ac:dyDescent="0.3">
      <c r="B24" t="s">
        <v>138</v>
      </c>
      <c r="C24" t="s">
        <v>139</v>
      </c>
    </row>
    <row r="25" spans="2:3" ht="15.75" customHeight="1" x14ac:dyDescent="0.3">
      <c r="C25" t="s">
        <v>140</v>
      </c>
    </row>
    <row r="26" spans="2:3" ht="15.75" customHeight="1" x14ac:dyDescent="0.3">
      <c r="C26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L17"/>
  <sheetViews>
    <sheetView workbookViewId="0">
      <selection activeCell="F29" sqref="F29"/>
    </sheetView>
  </sheetViews>
  <sheetFormatPr defaultColWidth="12.61328125" defaultRowHeight="15.75" customHeight="1" x14ac:dyDescent="0.3"/>
  <cols>
    <col min="5" max="5" width="12.4609375" customWidth="1"/>
    <col min="37" max="37" width="15.23046875" customWidth="1"/>
    <col min="50" max="50" width="16.4609375" customWidth="1"/>
    <col min="51" max="52" width="15" customWidth="1"/>
    <col min="61" max="62" width="20.15234375" customWidth="1"/>
    <col min="63" max="63" width="20.765625" customWidth="1"/>
  </cols>
  <sheetData>
    <row r="1" spans="1:64" ht="15.75" customHeight="1" x14ac:dyDescent="0.3">
      <c r="A1" s="2" t="s">
        <v>5</v>
      </c>
      <c r="B1" s="2" t="s">
        <v>6</v>
      </c>
      <c r="C1" s="2" t="s">
        <v>7</v>
      </c>
      <c r="D1" s="2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24</v>
      </c>
      <c r="AD1" s="3" t="s">
        <v>33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46</v>
      </c>
      <c r="AR1" s="3" t="s">
        <v>47</v>
      </c>
      <c r="AS1" s="3" t="s">
        <v>48</v>
      </c>
      <c r="AT1" s="3" t="s">
        <v>49</v>
      </c>
      <c r="AU1" s="3" t="s">
        <v>50</v>
      </c>
      <c r="AV1" s="3" t="s">
        <v>51</v>
      </c>
      <c r="AW1" s="3" t="s">
        <v>52</v>
      </c>
      <c r="AX1" s="3" t="s">
        <v>53</v>
      </c>
      <c r="AY1" s="3" t="s">
        <v>54</v>
      </c>
      <c r="AZ1" s="3" t="s">
        <v>55</v>
      </c>
      <c r="BA1" s="3" t="s">
        <v>56</v>
      </c>
      <c r="BB1" s="3" t="s">
        <v>57</v>
      </c>
      <c r="BC1" s="3" t="s">
        <v>58</v>
      </c>
      <c r="BD1" s="3" t="s">
        <v>59</v>
      </c>
      <c r="BE1" s="3" t="s">
        <v>60</v>
      </c>
      <c r="BF1" s="3" t="s">
        <v>61</v>
      </c>
      <c r="BG1" s="3" t="s">
        <v>62</v>
      </c>
      <c r="BH1" s="3" t="s">
        <v>63</v>
      </c>
      <c r="BI1" s="3" t="s">
        <v>64</v>
      </c>
      <c r="BJ1" s="3" t="s">
        <v>65</v>
      </c>
      <c r="BK1" s="3" t="s">
        <v>66</v>
      </c>
      <c r="BL1" s="3" t="s">
        <v>67</v>
      </c>
    </row>
    <row r="2" spans="1:64" ht="15.75" customHeight="1" x14ac:dyDescent="0.3">
      <c r="A2" s="21" t="s">
        <v>68</v>
      </c>
      <c r="B2" s="20"/>
      <c r="C2" s="20"/>
      <c r="D2" s="20"/>
      <c r="E2" s="19" t="s">
        <v>12</v>
      </c>
      <c r="F2" s="20"/>
      <c r="G2" s="20"/>
      <c r="H2" s="20"/>
      <c r="I2" s="19" t="s">
        <v>69</v>
      </c>
      <c r="J2" s="20"/>
      <c r="K2" s="20"/>
      <c r="L2" s="20"/>
      <c r="M2" s="20"/>
      <c r="N2" s="20"/>
      <c r="O2" s="20"/>
      <c r="P2" s="19" t="s">
        <v>70</v>
      </c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19" t="s">
        <v>71</v>
      </c>
      <c r="BC2" s="20"/>
      <c r="BD2" s="20"/>
      <c r="BE2" s="20"/>
      <c r="BF2" s="20"/>
      <c r="BG2" s="20"/>
      <c r="BH2" s="20"/>
      <c r="BI2" s="3"/>
      <c r="BJ2" s="19" t="s">
        <v>72</v>
      </c>
      <c r="BK2" s="20"/>
      <c r="BL2" s="3" t="s">
        <v>67</v>
      </c>
    </row>
    <row r="3" spans="1:64" ht="15.75" customHeight="1" x14ac:dyDescent="0.3">
      <c r="A3" s="1" t="s">
        <v>73</v>
      </c>
      <c r="B3" s="1" t="s">
        <v>74</v>
      </c>
      <c r="C3" s="1" t="s">
        <v>75</v>
      </c>
      <c r="D3" s="1" t="s">
        <v>76</v>
      </c>
      <c r="E3" s="4">
        <v>2024</v>
      </c>
      <c r="F3" s="5">
        <v>10</v>
      </c>
      <c r="G3" s="5">
        <v>8</v>
      </c>
      <c r="H3" s="6">
        <v>45573</v>
      </c>
      <c r="I3" s="4" t="s">
        <v>77</v>
      </c>
      <c r="J3" s="4" t="s">
        <v>78</v>
      </c>
      <c r="K3" s="4" t="s">
        <v>79</v>
      </c>
      <c r="L3" s="4" t="s">
        <v>80</v>
      </c>
      <c r="M3" s="4" t="s">
        <v>81</v>
      </c>
      <c r="N3" s="4" t="s">
        <v>82</v>
      </c>
      <c r="O3" s="4"/>
      <c r="P3" s="4" t="s">
        <v>83</v>
      </c>
      <c r="Q3" s="1" t="s">
        <v>84</v>
      </c>
      <c r="R3" s="1" t="s">
        <v>84</v>
      </c>
      <c r="S3" s="1" t="s">
        <v>83</v>
      </c>
      <c r="T3" s="1" t="s">
        <v>83</v>
      </c>
      <c r="U3" s="1" t="s">
        <v>83</v>
      </c>
      <c r="V3" s="1" t="s">
        <v>83</v>
      </c>
      <c r="W3" s="1" t="s">
        <v>83</v>
      </c>
      <c r="X3" s="1" t="s">
        <v>84</v>
      </c>
      <c r="Y3" s="1" t="s">
        <v>84</v>
      </c>
      <c r="Z3" s="1" t="s">
        <v>84</v>
      </c>
      <c r="AA3" s="1" t="s">
        <v>83</v>
      </c>
      <c r="AB3" s="1" t="s">
        <v>84</v>
      </c>
      <c r="AC3" s="1" t="s">
        <v>84</v>
      </c>
      <c r="AD3" s="1" t="s">
        <v>84</v>
      </c>
      <c r="AE3" s="1" t="s">
        <v>84</v>
      </c>
      <c r="AF3" s="1" t="s">
        <v>84</v>
      </c>
      <c r="AG3" s="4" t="s">
        <v>83</v>
      </c>
      <c r="AH3" s="4" t="s">
        <v>83</v>
      </c>
      <c r="AI3" s="4" t="s">
        <v>83</v>
      </c>
      <c r="AJ3" s="4" t="s">
        <v>83</v>
      </c>
      <c r="AK3" s="4" t="s">
        <v>85</v>
      </c>
      <c r="AL3" s="4">
        <v>2500</v>
      </c>
      <c r="AM3" s="4">
        <v>0</v>
      </c>
      <c r="AN3" s="4" t="s">
        <v>86</v>
      </c>
      <c r="AO3" s="5">
        <v>1.7160000000000002E-2</v>
      </c>
      <c r="AP3" s="4" t="s">
        <v>87</v>
      </c>
      <c r="AQ3" s="4" t="s">
        <v>88</v>
      </c>
      <c r="AR3" s="4" t="s">
        <v>89</v>
      </c>
      <c r="AS3" s="4" t="s">
        <v>90</v>
      </c>
      <c r="AT3" s="4" t="s">
        <v>91</v>
      </c>
      <c r="AU3" s="4"/>
      <c r="AV3" s="4"/>
      <c r="AW3" s="5">
        <v>400</v>
      </c>
      <c r="AX3" s="5">
        <v>8</v>
      </c>
      <c r="AY3" s="5">
        <v>0.5</v>
      </c>
      <c r="AZ3" s="5">
        <v>1</v>
      </c>
      <c r="BA3" s="5">
        <v>241206</v>
      </c>
      <c r="BB3" s="5">
        <v>0.91500000000000004</v>
      </c>
      <c r="BC3" s="5">
        <v>0.75900000000000001</v>
      </c>
      <c r="BD3" s="5">
        <v>0.95899999999999996</v>
      </c>
      <c r="BE3" s="5">
        <v>0.70499999999999996</v>
      </c>
      <c r="BF3" s="5">
        <v>0.90500000000000003</v>
      </c>
      <c r="BG3" s="5">
        <v>0.98899999999999999</v>
      </c>
      <c r="BH3" s="5">
        <v>500</v>
      </c>
      <c r="BI3" s="5" t="s">
        <v>85</v>
      </c>
      <c r="BJ3" s="5"/>
      <c r="BK3" s="5"/>
      <c r="BL3" s="4"/>
    </row>
    <row r="4" spans="1:64" ht="15.75" customHeight="1" x14ac:dyDescent="0.3">
      <c r="A4" s="1" t="s">
        <v>73</v>
      </c>
      <c r="B4" s="1" t="s">
        <v>74</v>
      </c>
      <c r="C4" s="1" t="s">
        <v>75</v>
      </c>
      <c r="D4" s="1" t="s">
        <v>92</v>
      </c>
      <c r="E4" s="1">
        <v>2024</v>
      </c>
      <c r="F4" s="1">
        <v>8</v>
      </c>
      <c r="G4" s="1">
        <v>13</v>
      </c>
      <c r="H4" s="7">
        <v>45517</v>
      </c>
      <c r="I4" s="1" t="s">
        <v>92</v>
      </c>
      <c r="J4" s="1" t="s">
        <v>78</v>
      </c>
      <c r="K4" s="1" t="s">
        <v>79</v>
      </c>
      <c r="L4" s="1" t="s">
        <v>80</v>
      </c>
      <c r="M4" s="1" t="s">
        <v>81</v>
      </c>
      <c r="N4" s="1" t="s">
        <v>82</v>
      </c>
      <c r="O4" s="1"/>
      <c r="P4" s="1" t="s">
        <v>83</v>
      </c>
      <c r="Q4" s="1" t="s">
        <v>84</v>
      </c>
      <c r="R4" s="1" t="s">
        <v>84</v>
      </c>
      <c r="S4" s="1" t="s">
        <v>83</v>
      </c>
      <c r="T4" s="1" t="s">
        <v>83</v>
      </c>
      <c r="U4" s="1" t="s">
        <v>83</v>
      </c>
      <c r="V4" s="1" t="s">
        <v>83</v>
      </c>
      <c r="W4" s="1" t="s">
        <v>83</v>
      </c>
      <c r="X4" s="1" t="s">
        <v>84</v>
      </c>
      <c r="Y4" s="1" t="s">
        <v>84</v>
      </c>
      <c r="Z4" s="1" t="s">
        <v>84</v>
      </c>
      <c r="AA4" s="1" t="s">
        <v>83</v>
      </c>
      <c r="AB4" s="1" t="s">
        <v>84</v>
      </c>
      <c r="AC4" s="1" t="s">
        <v>84</v>
      </c>
      <c r="AD4" s="1" t="s">
        <v>84</v>
      </c>
      <c r="AE4" s="1" t="s">
        <v>84</v>
      </c>
      <c r="AF4" s="1" t="s">
        <v>84</v>
      </c>
      <c r="AG4" s="1" t="s">
        <v>83</v>
      </c>
      <c r="AH4" s="4" t="s">
        <v>83</v>
      </c>
      <c r="AI4" s="4" t="s">
        <v>83</v>
      </c>
      <c r="AJ4" s="4" t="s">
        <v>83</v>
      </c>
      <c r="AK4" s="4" t="s">
        <v>85</v>
      </c>
      <c r="AL4" s="1">
        <v>1726</v>
      </c>
      <c r="AM4" s="4">
        <v>0</v>
      </c>
      <c r="AN4" s="1" t="s">
        <v>86</v>
      </c>
      <c r="AO4" s="1">
        <v>5.0860000000000002E-2</v>
      </c>
      <c r="AP4" s="1" t="s">
        <v>87</v>
      </c>
      <c r="AQ4" s="1" t="s">
        <v>88</v>
      </c>
      <c r="AR4" s="1" t="s">
        <v>89</v>
      </c>
      <c r="AS4" s="1" t="s">
        <v>90</v>
      </c>
      <c r="AT4" s="1"/>
      <c r="AU4" s="1"/>
      <c r="AV4" s="1"/>
      <c r="AW4" s="1">
        <v>100</v>
      </c>
      <c r="AX4" s="1">
        <v>9</v>
      </c>
      <c r="AY4" s="1">
        <v>0.5</v>
      </c>
      <c r="AZ4" s="1">
        <v>1</v>
      </c>
      <c r="BA4" s="1">
        <v>241206</v>
      </c>
      <c r="BB4" s="1">
        <v>0.83399999999999996</v>
      </c>
      <c r="BC4" s="1">
        <v>0.65200000000000002</v>
      </c>
      <c r="BD4" s="1">
        <v>0.873</v>
      </c>
      <c r="BE4" s="1">
        <v>0.71199999999999997</v>
      </c>
      <c r="BF4" s="1">
        <v>0.81299999999999994</v>
      </c>
      <c r="BG4" s="1">
        <v>0.92400000000000004</v>
      </c>
      <c r="BH4" s="1">
        <v>500</v>
      </c>
      <c r="BI4" s="5" t="s">
        <v>85</v>
      </c>
      <c r="BJ4" s="1"/>
      <c r="BK4" s="1"/>
    </row>
    <row r="5" spans="1:64" ht="15.75" customHeight="1" x14ac:dyDescent="0.3">
      <c r="A5" s="1" t="s">
        <v>73</v>
      </c>
      <c r="B5" s="1" t="s">
        <v>74</v>
      </c>
      <c r="C5" s="1" t="s">
        <v>75</v>
      </c>
      <c r="D5" s="1" t="s">
        <v>76</v>
      </c>
      <c r="E5" s="4">
        <v>2023</v>
      </c>
      <c r="F5" s="5">
        <v>8</v>
      </c>
      <c r="G5" s="5">
        <v>24</v>
      </c>
      <c r="H5" s="6">
        <v>45162</v>
      </c>
      <c r="I5" s="4" t="s">
        <v>77</v>
      </c>
      <c r="J5" s="4" t="s">
        <v>78</v>
      </c>
      <c r="K5" s="4" t="s">
        <v>79</v>
      </c>
      <c r="L5" s="4" t="s">
        <v>80</v>
      </c>
      <c r="M5" s="4" t="s">
        <v>81</v>
      </c>
      <c r="N5" s="4" t="s">
        <v>82</v>
      </c>
      <c r="O5" s="4"/>
      <c r="P5" s="4" t="s">
        <v>83</v>
      </c>
      <c r="Q5" s="1" t="s">
        <v>84</v>
      </c>
      <c r="R5" s="1" t="s">
        <v>84</v>
      </c>
      <c r="S5" s="1" t="s">
        <v>83</v>
      </c>
      <c r="T5" s="1" t="s">
        <v>83</v>
      </c>
      <c r="U5" s="1" t="s">
        <v>83</v>
      </c>
      <c r="V5" s="1" t="s">
        <v>83</v>
      </c>
      <c r="W5" s="1" t="s">
        <v>83</v>
      </c>
      <c r="X5" s="1" t="s">
        <v>84</v>
      </c>
      <c r="Y5" s="1" t="s">
        <v>84</v>
      </c>
      <c r="Z5" s="1" t="s">
        <v>84</v>
      </c>
      <c r="AA5" s="1" t="s">
        <v>83</v>
      </c>
      <c r="AB5" s="1" t="s">
        <v>84</v>
      </c>
      <c r="AC5" s="1" t="s">
        <v>84</v>
      </c>
      <c r="AD5" s="1" t="s">
        <v>84</v>
      </c>
      <c r="AE5" s="1" t="s">
        <v>84</v>
      </c>
      <c r="AF5" s="1" t="s">
        <v>84</v>
      </c>
      <c r="AG5" s="4" t="s">
        <v>83</v>
      </c>
      <c r="AH5" s="4" t="s">
        <v>83</v>
      </c>
      <c r="AI5" s="4" t="s">
        <v>83</v>
      </c>
      <c r="AJ5" s="4" t="s">
        <v>83</v>
      </c>
      <c r="AK5" s="4" t="s">
        <v>85</v>
      </c>
      <c r="AL5" s="4">
        <v>2500</v>
      </c>
      <c r="AM5" s="4">
        <v>0</v>
      </c>
      <c r="AN5" s="4" t="s">
        <v>86</v>
      </c>
      <c r="AO5" s="5">
        <v>0.02</v>
      </c>
      <c r="AP5" s="4" t="s">
        <v>87</v>
      </c>
      <c r="AQ5" s="4" t="s">
        <v>88</v>
      </c>
      <c r="AR5" s="4" t="s">
        <v>89</v>
      </c>
      <c r="AS5" s="4" t="s">
        <v>93</v>
      </c>
      <c r="AT5" s="4" t="s">
        <v>94</v>
      </c>
      <c r="AU5" s="4"/>
      <c r="AV5" s="4"/>
      <c r="AW5" s="5">
        <v>100</v>
      </c>
      <c r="AX5" s="5">
        <v>2</v>
      </c>
      <c r="AY5" s="5">
        <v>0.5</v>
      </c>
      <c r="AZ5" s="5">
        <v>1</v>
      </c>
      <c r="BA5" s="5">
        <v>241206</v>
      </c>
      <c r="BB5" s="5">
        <v>0.9</v>
      </c>
      <c r="BC5" s="5">
        <v>0.65400000000000003</v>
      </c>
      <c r="BD5" s="5">
        <v>0.98399999999999999</v>
      </c>
      <c r="BE5" s="5">
        <v>0.55500000000000005</v>
      </c>
      <c r="BF5" s="5">
        <v>0.88800000000000001</v>
      </c>
      <c r="BG5" s="5">
        <v>0.997</v>
      </c>
      <c r="BH5" s="5">
        <v>500</v>
      </c>
      <c r="BI5" s="5" t="s">
        <v>85</v>
      </c>
      <c r="BJ5" s="5"/>
      <c r="BK5" s="5"/>
      <c r="BL5" s="4"/>
    </row>
    <row r="6" spans="1:64" ht="15.75" customHeight="1" x14ac:dyDescent="0.3">
      <c r="A6" s="1" t="s">
        <v>73</v>
      </c>
      <c r="B6" s="1" t="s">
        <v>74</v>
      </c>
      <c r="C6" s="1" t="s">
        <v>75</v>
      </c>
      <c r="D6" s="1" t="s">
        <v>92</v>
      </c>
      <c r="E6" s="1">
        <v>2023</v>
      </c>
      <c r="F6" s="1">
        <v>3</v>
      </c>
      <c r="G6" s="1">
        <v>2</v>
      </c>
      <c r="H6" s="7">
        <v>44987</v>
      </c>
      <c r="I6" s="1" t="s">
        <v>92</v>
      </c>
      <c r="J6" s="1" t="s">
        <v>78</v>
      </c>
      <c r="K6" s="1" t="s">
        <v>79</v>
      </c>
      <c r="L6" s="1" t="s">
        <v>80</v>
      </c>
      <c r="M6" s="1" t="s">
        <v>81</v>
      </c>
      <c r="N6" s="1" t="s">
        <v>82</v>
      </c>
      <c r="O6" s="1"/>
      <c r="P6" s="1" t="s">
        <v>83</v>
      </c>
      <c r="Q6" s="1" t="s">
        <v>84</v>
      </c>
      <c r="R6" s="1" t="s">
        <v>84</v>
      </c>
      <c r="S6" s="1" t="s">
        <v>83</v>
      </c>
      <c r="T6" s="1" t="s">
        <v>83</v>
      </c>
      <c r="U6" s="1" t="s">
        <v>83</v>
      </c>
      <c r="V6" s="1" t="s">
        <v>83</v>
      </c>
      <c r="W6" s="1" t="s">
        <v>83</v>
      </c>
      <c r="X6" s="1" t="s">
        <v>84</v>
      </c>
      <c r="Y6" s="1" t="s">
        <v>84</v>
      </c>
      <c r="Z6" s="1" t="s">
        <v>84</v>
      </c>
      <c r="AA6" s="1" t="s">
        <v>83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83</v>
      </c>
      <c r="AH6" s="4" t="s">
        <v>83</v>
      </c>
      <c r="AI6" s="4" t="s">
        <v>83</v>
      </c>
      <c r="AJ6" s="4" t="s">
        <v>83</v>
      </c>
      <c r="AK6" s="4" t="s">
        <v>85</v>
      </c>
      <c r="AL6" s="1">
        <v>4989</v>
      </c>
      <c r="AM6" s="4">
        <v>0</v>
      </c>
      <c r="AN6" s="1" t="s">
        <v>86</v>
      </c>
      <c r="AO6" s="1">
        <v>2.717E-2</v>
      </c>
      <c r="AP6" s="1" t="s">
        <v>87</v>
      </c>
      <c r="AQ6" s="1" t="s">
        <v>88</v>
      </c>
      <c r="AR6" s="1" t="s">
        <v>89</v>
      </c>
      <c r="AS6" s="1" t="s">
        <v>93</v>
      </c>
      <c r="AT6" s="1"/>
      <c r="AU6" s="1"/>
      <c r="AV6" s="1"/>
      <c r="AW6" s="1">
        <v>500</v>
      </c>
      <c r="AX6" s="1">
        <v>10</v>
      </c>
      <c r="AY6" s="1">
        <v>0.5</v>
      </c>
      <c r="AZ6" s="1">
        <v>1</v>
      </c>
      <c r="BA6" s="1">
        <v>241204</v>
      </c>
      <c r="BB6" s="1">
        <v>0.89</v>
      </c>
      <c r="BC6" s="1">
        <v>0.70199999999999996</v>
      </c>
      <c r="BD6" s="1">
        <v>0.84699999999999998</v>
      </c>
      <c r="BE6" s="1">
        <v>0.71199999999999997</v>
      </c>
      <c r="BF6" s="1">
        <v>0.90300000000000002</v>
      </c>
      <c r="BG6" s="1">
        <v>0.95399999999999996</v>
      </c>
      <c r="BH6" s="1">
        <v>500</v>
      </c>
      <c r="BI6" s="5" t="s">
        <v>85</v>
      </c>
      <c r="BJ6" s="1"/>
      <c r="BK6" s="1"/>
    </row>
    <row r="7" spans="1:64" ht="15.75" customHeight="1" x14ac:dyDescent="0.3">
      <c r="A7" s="1" t="s">
        <v>73</v>
      </c>
      <c r="B7" s="1" t="s">
        <v>74</v>
      </c>
      <c r="C7" s="1" t="s">
        <v>75</v>
      </c>
      <c r="D7" s="1" t="s">
        <v>92</v>
      </c>
      <c r="E7" s="1">
        <v>2023</v>
      </c>
      <c r="F7" s="1">
        <v>4</v>
      </c>
      <c r="G7" s="1">
        <v>28</v>
      </c>
      <c r="H7" s="7">
        <v>45044</v>
      </c>
      <c r="I7" s="1" t="s">
        <v>92</v>
      </c>
      <c r="J7" s="1" t="s">
        <v>95</v>
      </c>
      <c r="K7" s="1" t="s">
        <v>79</v>
      </c>
      <c r="L7" s="1" t="s">
        <v>81</v>
      </c>
      <c r="M7" s="1" t="s">
        <v>96</v>
      </c>
      <c r="N7" s="1" t="s">
        <v>96</v>
      </c>
      <c r="O7" s="1"/>
      <c r="P7" s="1" t="s">
        <v>84</v>
      </c>
      <c r="Q7" s="1" t="s">
        <v>84</v>
      </c>
      <c r="R7" s="1" t="s">
        <v>84</v>
      </c>
      <c r="S7" s="1" t="s">
        <v>83</v>
      </c>
      <c r="T7" s="1" t="s">
        <v>83</v>
      </c>
      <c r="U7" s="1" t="s">
        <v>83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83</v>
      </c>
      <c r="AH7" s="4" t="s">
        <v>83</v>
      </c>
      <c r="AI7" s="4" t="s">
        <v>83</v>
      </c>
      <c r="AJ7" s="4" t="s">
        <v>83</v>
      </c>
      <c r="AK7" s="4" t="s">
        <v>85</v>
      </c>
      <c r="AL7" s="1">
        <v>1250</v>
      </c>
      <c r="AM7" s="4">
        <v>0</v>
      </c>
      <c r="AN7" s="1" t="s">
        <v>86</v>
      </c>
      <c r="AO7" s="1">
        <v>1.389E-2</v>
      </c>
      <c r="AP7" s="1" t="s">
        <v>87</v>
      </c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5" t="s">
        <v>85</v>
      </c>
      <c r="BJ7" s="1"/>
      <c r="BK7" s="1"/>
    </row>
    <row r="8" spans="1:64" ht="15.75" customHeight="1" x14ac:dyDescent="0.3">
      <c r="A8" s="1" t="s">
        <v>73</v>
      </c>
      <c r="B8" s="1" t="s">
        <v>74</v>
      </c>
      <c r="C8" s="1" t="s">
        <v>75</v>
      </c>
      <c r="D8" s="1" t="s">
        <v>92</v>
      </c>
      <c r="E8" s="1">
        <v>2023</v>
      </c>
      <c r="F8" s="1">
        <v>8</v>
      </c>
      <c r="G8" s="1">
        <v>8</v>
      </c>
      <c r="H8" s="7">
        <v>45146</v>
      </c>
      <c r="I8" s="1" t="s">
        <v>92</v>
      </c>
      <c r="J8" s="1" t="s">
        <v>78</v>
      </c>
      <c r="K8" s="1" t="s">
        <v>79</v>
      </c>
      <c r="L8" s="1" t="s">
        <v>80</v>
      </c>
      <c r="M8" s="1" t="s">
        <v>81</v>
      </c>
      <c r="N8" s="1" t="s">
        <v>82</v>
      </c>
      <c r="O8" s="1"/>
      <c r="P8" s="1" t="s">
        <v>84</v>
      </c>
      <c r="Q8" s="1" t="s">
        <v>84</v>
      </c>
      <c r="R8" s="1" t="s">
        <v>84</v>
      </c>
      <c r="S8" s="1" t="s">
        <v>83</v>
      </c>
      <c r="T8" s="1" t="s">
        <v>83</v>
      </c>
      <c r="U8" s="1" t="s">
        <v>83</v>
      </c>
      <c r="V8" s="1" t="s">
        <v>83</v>
      </c>
      <c r="W8" s="1" t="s">
        <v>83</v>
      </c>
      <c r="X8" s="1" t="s">
        <v>84</v>
      </c>
      <c r="Y8" s="1" t="s">
        <v>84</v>
      </c>
      <c r="Z8" s="1" t="s">
        <v>84</v>
      </c>
      <c r="AA8" s="1" t="s">
        <v>83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83</v>
      </c>
      <c r="AH8" s="4" t="s">
        <v>83</v>
      </c>
      <c r="AI8" s="4" t="s">
        <v>83</v>
      </c>
      <c r="AJ8" s="4" t="s">
        <v>83</v>
      </c>
      <c r="AK8" s="4" t="s">
        <v>85</v>
      </c>
      <c r="AL8" s="1">
        <v>4989</v>
      </c>
      <c r="AM8" s="4">
        <v>0</v>
      </c>
      <c r="AN8" s="1" t="s">
        <v>86</v>
      </c>
      <c r="AO8" s="1">
        <v>2.571E-2</v>
      </c>
      <c r="AP8" s="1" t="s">
        <v>87</v>
      </c>
      <c r="AQ8" s="1" t="s">
        <v>88</v>
      </c>
      <c r="AR8" s="1" t="s">
        <v>89</v>
      </c>
      <c r="AS8" s="1" t="s">
        <v>93</v>
      </c>
      <c r="AT8" s="1"/>
      <c r="AU8" s="1"/>
      <c r="AV8" s="1"/>
      <c r="AW8" s="1">
        <v>100</v>
      </c>
      <c r="AX8" s="1">
        <v>2</v>
      </c>
      <c r="AY8" s="1">
        <v>0.5</v>
      </c>
      <c r="AZ8" s="1">
        <v>1</v>
      </c>
      <c r="BA8" s="1">
        <v>241206</v>
      </c>
      <c r="BB8" s="1">
        <v>0.85</v>
      </c>
      <c r="BC8" s="1">
        <v>0.66</v>
      </c>
      <c r="BD8" s="1">
        <v>0.84</v>
      </c>
      <c r="BE8" s="1">
        <v>0.71199999999999997</v>
      </c>
      <c r="BF8" s="1">
        <v>0.85399999999999998</v>
      </c>
      <c r="BG8" s="1">
        <v>0.92600000000000005</v>
      </c>
      <c r="BH8" s="1">
        <v>500</v>
      </c>
      <c r="BI8" s="5" t="s">
        <v>85</v>
      </c>
      <c r="BJ8" s="1"/>
      <c r="BK8" s="1"/>
      <c r="BL8" s="1" t="s">
        <v>97</v>
      </c>
    </row>
    <row r="9" spans="1:64" ht="15.75" customHeight="1" x14ac:dyDescent="0.3">
      <c r="A9" s="1" t="s">
        <v>73</v>
      </c>
      <c r="B9" s="1" t="s">
        <v>74</v>
      </c>
      <c r="C9" s="1" t="s">
        <v>75</v>
      </c>
      <c r="D9" s="1" t="s">
        <v>76</v>
      </c>
      <c r="E9" s="4">
        <v>2022</v>
      </c>
      <c r="F9" s="5">
        <v>9</v>
      </c>
      <c r="G9" s="5">
        <v>2</v>
      </c>
      <c r="H9" s="6">
        <v>44806</v>
      </c>
      <c r="I9" s="4" t="s">
        <v>77</v>
      </c>
      <c r="J9" s="4" t="s">
        <v>98</v>
      </c>
      <c r="K9" s="4" t="s">
        <v>79</v>
      </c>
      <c r="L9" s="4" t="s">
        <v>80</v>
      </c>
      <c r="M9" s="4" t="s">
        <v>99</v>
      </c>
      <c r="N9" s="4"/>
      <c r="O9" s="4"/>
      <c r="P9" s="4" t="s">
        <v>83</v>
      </c>
      <c r="Q9" s="1" t="s">
        <v>84</v>
      </c>
      <c r="R9" s="1" t="s">
        <v>84</v>
      </c>
      <c r="S9" s="1" t="s">
        <v>83</v>
      </c>
      <c r="T9" s="1" t="s">
        <v>84</v>
      </c>
      <c r="U9" s="1" t="s">
        <v>84</v>
      </c>
      <c r="V9" s="1" t="s">
        <v>83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4" t="s">
        <v>83</v>
      </c>
      <c r="AH9" s="4" t="s">
        <v>83</v>
      </c>
      <c r="AI9" s="4" t="s">
        <v>83</v>
      </c>
      <c r="AJ9" s="4" t="s">
        <v>83</v>
      </c>
      <c r="AK9" s="4" t="s">
        <v>85</v>
      </c>
      <c r="AL9" s="4">
        <v>2500</v>
      </c>
      <c r="AM9" s="4">
        <v>0</v>
      </c>
      <c r="AN9" s="4" t="s">
        <v>86</v>
      </c>
      <c r="AO9" s="5">
        <v>1.9390000000000001E-2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/>
      <c r="AV9" s="4"/>
      <c r="AW9" s="5">
        <v>200</v>
      </c>
      <c r="AX9" s="5">
        <v>7</v>
      </c>
      <c r="AY9" s="5">
        <v>0.5</v>
      </c>
      <c r="AZ9" s="5">
        <v>1</v>
      </c>
      <c r="BA9" s="5">
        <v>241215</v>
      </c>
      <c r="BB9" s="5">
        <v>0.9</v>
      </c>
      <c r="BC9" s="5">
        <v>0.69599999999999995</v>
      </c>
      <c r="BD9" s="5">
        <v>0.92700000000000005</v>
      </c>
      <c r="BE9" s="5">
        <v>0.63900000000000001</v>
      </c>
      <c r="BF9" s="5">
        <v>0.89500000000000002</v>
      </c>
      <c r="BG9" s="5">
        <v>0.98399999999999999</v>
      </c>
      <c r="BH9" s="5">
        <v>500</v>
      </c>
      <c r="BI9" s="5" t="s">
        <v>85</v>
      </c>
      <c r="BJ9" s="5"/>
      <c r="BK9" s="5"/>
      <c r="BL9" s="4" t="s">
        <v>100</v>
      </c>
    </row>
    <row r="10" spans="1:64" ht="15.75" customHeight="1" x14ac:dyDescent="0.3">
      <c r="A10" s="1" t="s">
        <v>73</v>
      </c>
      <c r="B10" s="1" t="s">
        <v>74</v>
      </c>
      <c r="C10" s="1" t="s">
        <v>75</v>
      </c>
      <c r="D10" s="1" t="s">
        <v>92</v>
      </c>
      <c r="E10" s="4">
        <v>2022</v>
      </c>
      <c r="F10" s="4">
        <v>6</v>
      </c>
      <c r="G10" s="1">
        <v>10</v>
      </c>
      <c r="H10" s="1">
        <v>220610</v>
      </c>
      <c r="I10" s="1" t="s">
        <v>92</v>
      </c>
      <c r="J10" s="1" t="s">
        <v>95</v>
      </c>
      <c r="K10" s="1" t="s">
        <v>79</v>
      </c>
      <c r="L10" s="1" t="s">
        <v>96</v>
      </c>
      <c r="M10" s="1" t="s">
        <v>81</v>
      </c>
      <c r="N10" s="1"/>
      <c r="O10" s="1"/>
      <c r="P10" s="1" t="s">
        <v>84</v>
      </c>
      <c r="Q10" s="1" t="s">
        <v>84</v>
      </c>
      <c r="R10" s="1" t="s">
        <v>84</v>
      </c>
      <c r="S10" s="1" t="s">
        <v>83</v>
      </c>
      <c r="T10" s="1" t="s">
        <v>83</v>
      </c>
      <c r="U10" s="1" t="s">
        <v>83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83</v>
      </c>
      <c r="AH10" s="4" t="s">
        <v>83</v>
      </c>
      <c r="AI10" s="4" t="s">
        <v>83</v>
      </c>
      <c r="AJ10" s="4" t="s">
        <v>83</v>
      </c>
      <c r="AK10" s="4" t="s">
        <v>85</v>
      </c>
      <c r="AL10" s="1">
        <v>1250</v>
      </c>
      <c r="AM10" s="4">
        <v>0</v>
      </c>
      <c r="AN10" s="1" t="s">
        <v>86</v>
      </c>
      <c r="AO10" s="1">
        <v>1.4160000000000001E-2</v>
      </c>
      <c r="AP10" s="1" t="s">
        <v>87</v>
      </c>
      <c r="AQ10" s="1" t="s">
        <v>88</v>
      </c>
      <c r="AR10" s="1" t="s">
        <v>89</v>
      </c>
      <c r="AS10" s="1"/>
      <c r="AT10" s="1"/>
      <c r="AU10" s="1"/>
      <c r="AV10" s="1"/>
      <c r="AW10" s="1">
        <v>100</v>
      </c>
      <c r="AX10" s="1">
        <v>4</v>
      </c>
      <c r="AY10" s="1">
        <v>0.5</v>
      </c>
      <c r="AZ10" s="1">
        <v>1</v>
      </c>
      <c r="BA10" s="1">
        <v>241220</v>
      </c>
      <c r="BB10" s="1">
        <v>0.95</v>
      </c>
      <c r="BC10" s="1">
        <v>0.53900000000000003</v>
      </c>
      <c r="BD10" s="1">
        <v>0.94099999999999995</v>
      </c>
      <c r="BE10" s="1">
        <v>0.4</v>
      </c>
      <c r="BF10" s="1">
        <v>0.95</v>
      </c>
      <c r="BG10" s="1">
        <v>0.998</v>
      </c>
      <c r="BH10" s="1">
        <v>500</v>
      </c>
      <c r="BI10" s="5" t="s">
        <v>85</v>
      </c>
      <c r="BJ10" s="1"/>
      <c r="BK10" s="1"/>
    </row>
    <row r="11" spans="1:64" ht="15.75" customHeight="1" x14ac:dyDescent="0.3">
      <c r="A11" s="1" t="s">
        <v>73</v>
      </c>
      <c r="B11" s="1" t="s">
        <v>74</v>
      </c>
      <c r="C11" s="1" t="s">
        <v>75</v>
      </c>
      <c r="D11" s="1" t="s">
        <v>92</v>
      </c>
      <c r="E11" s="4">
        <v>2022</v>
      </c>
      <c r="F11" s="4">
        <v>9</v>
      </c>
      <c r="G11" s="1">
        <v>30</v>
      </c>
      <c r="H11" s="1">
        <v>220930</v>
      </c>
      <c r="I11" s="1" t="s">
        <v>92</v>
      </c>
      <c r="J11" s="1" t="s">
        <v>95</v>
      </c>
      <c r="K11" s="1" t="s">
        <v>79</v>
      </c>
      <c r="L11" s="1" t="s">
        <v>96</v>
      </c>
      <c r="M11" s="1" t="s">
        <v>81</v>
      </c>
      <c r="N11" s="1"/>
      <c r="O11" s="1"/>
      <c r="P11" s="1" t="s">
        <v>83</v>
      </c>
      <c r="Q11" s="1" t="s">
        <v>84</v>
      </c>
      <c r="R11" s="1" t="s">
        <v>84</v>
      </c>
      <c r="S11" s="1" t="s">
        <v>83</v>
      </c>
      <c r="T11" s="1" t="s">
        <v>83</v>
      </c>
      <c r="U11" s="1" t="s">
        <v>83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83</v>
      </c>
      <c r="AH11" s="4" t="s">
        <v>83</v>
      </c>
      <c r="AI11" s="4" t="s">
        <v>83</v>
      </c>
      <c r="AJ11" s="4" t="s">
        <v>83</v>
      </c>
      <c r="AK11" s="4" t="s">
        <v>85</v>
      </c>
      <c r="AL11" s="1">
        <v>4990</v>
      </c>
      <c r="AM11" s="4">
        <v>0</v>
      </c>
      <c r="AN11" s="1" t="s">
        <v>86</v>
      </c>
      <c r="AO11" s="1">
        <v>2.5829999999999999E-2</v>
      </c>
      <c r="AP11" s="1" t="s">
        <v>87</v>
      </c>
      <c r="AQ11" s="1" t="s">
        <v>88</v>
      </c>
      <c r="AR11" s="1" t="s">
        <v>89</v>
      </c>
      <c r="AS11" s="1"/>
      <c r="AT11" s="1"/>
      <c r="AU11" s="1"/>
      <c r="AV11" s="1"/>
      <c r="AW11" s="1">
        <v>200</v>
      </c>
      <c r="AX11" s="1">
        <v>3</v>
      </c>
      <c r="AY11" s="1">
        <v>0.5</v>
      </c>
      <c r="AZ11" s="1">
        <v>1</v>
      </c>
      <c r="BA11" s="1">
        <v>241204</v>
      </c>
      <c r="BB11" s="1">
        <v>0.90700000000000003</v>
      </c>
      <c r="BC11" s="1">
        <v>0.67100000000000004</v>
      </c>
      <c r="BD11" s="1">
        <v>0.92300000000000004</v>
      </c>
      <c r="BE11" s="1">
        <v>0.59399999999999997</v>
      </c>
      <c r="BF11" s="1">
        <v>0.90600000000000003</v>
      </c>
      <c r="BG11" s="1">
        <v>0.98699999999999999</v>
      </c>
      <c r="BH11" s="1">
        <v>500</v>
      </c>
      <c r="BI11" s="5" t="s">
        <v>85</v>
      </c>
      <c r="BJ11" s="1"/>
      <c r="BK11" s="1"/>
    </row>
    <row r="12" spans="1:64" ht="15.75" customHeight="1" x14ac:dyDescent="0.3">
      <c r="A12" s="1" t="s">
        <v>73</v>
      </c>
      <c r="B12" s="1" t="s">
        <v>74</v>
      </c>
      <c r="C12" s="1" t="s">
        <v>75</v>
      </c>
      <c r="D12" s="1" t="s">
        <v>76</v>
      </c>
      <c r="E12" s="4">
        <v>2021</v>
      </c>
      <c r="F12" s="5">
        <v>8</v>
      </c>
      <c r="G12" s="5">
        <v>26</v>
      </c>
      <c r="H12" s="6">
        <v>44434</v>
      </c>
      <c r="I12" s="4" t="s">
        <v>77</v>
      </c>
      <c r="J12" s="4" t="s">
        <v>95</v>
      </c>
      <c r="K12" s="4" t="s">
        <v>79</v>
      </c>
      <c r="L12" s="4" t="s">
        <v>80</v>
      </c>
      <c r="M12" s="4" t="s">
        <v>99</v>
      </c>
      <c r="N12" s="4"/>
      <c r="O12" s="4"/>
      <c r="P12" s="4" t="s">
        <v>83</v>
      </c>
      <c r="Q12" s="1" t="s">
        <v>84</v>
      </c>
      <c r="R12" s="1" t="s">
        <v>84</v>
      </c>
      <c r="S12" s="1" t="s">
        <v>83</v>
      </c>
      <c r="T12" s="1" t="s">
        <v>84</v>
      </c>
      <c r="U12" s="1" t="s">
        <v>84</v>
      </c>
      <c r="V12" s="1" t="s">
        <v>83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4" t="s">
        <v>83</v>
      </c>
      <c r="AH12" s="4" t="s">
        <v>83</v>
      </c>
      <c r="AI12" s="4" t="s">
        <v>83</v>
      </c>
      <c r="AJ12" s="4" t="s">
        <v>83</v>
      </c>
      <c r="AK12" s="4" t="s">
        <v>85</v>
      </c>
      <c r="AL12" s="4">
        <v>4992</v>
      </c>
      <c r="AM12" s="4">
        <v>0</v>
      </c>
      <c r="AN12" s="4" t="s">
        <v>101</v>
      </c>
      <c r="AO12" s="5">
        <v>1.6660000000000001E-2</v>
      </c>
      <c r="AP12" s="4" t="s">
        <v>87</v>
      </c>
      <c r="AQ12" s="4" t="s">
        <v>88</v>
      </c>
      <c r="AR12" s="4" t="s">
        <v>89</v>
      </c>
      <c r="AS12" s="4" t="s">
        <v>93</v>
      </c>
      <c r="AT12" s="4" t="s">
        <v>94</v>
      </c>
      <c r="AU12" s="4"/>
      <c r="AV12" s="4"/>
      <c r="AW12" s="5">
        <v>300</v>
      </c>
      <c r="AX12" s="5">
        <v>6</v>
      </c>
      <c r="AY12" s="5">
        <v>0.5</v>
      </c>
      <c r="AZ12" s="5">
        <v>1</v>
      </c>
      <c r="BA12" s="5">
        <v>241206</v>
      </c>
      <c r="BB12" s="5">
        <v>0.87</v>
      </c>
      <c r="BC12" s="5">
        <v>0.58199999999999996</v>
      </c>
      <c r="BD12" s="5">
        <v>0.79700000000000004</v>
      </c>
      <c r="BE12" s="5">
        <v>0.56299999999999994</v>
      </c>
      <c r="BF12" s="5">
        <v>0.88300000000000001</v>
      </c>
      <c r="BG12" s="5">
        <v>0.95899999999999996</v>
      </c>
      <c r="BH12" s="5">
        <v>500</v>
      </c>
      <c r="BI12" s="5" t="s">
        <v>85</v>
      </c>
      <c r="BJ12" s="5"/>
      <c r="BK12" s="5"/>
      <c r="BL12" s="4"/>
    </row>
    <row r="13" spans="1:64" ht="15.75" customHeight="1" x14ac:dyDescent="0.3">
      <c r="A13" s="1" t="s">
        <v>73</v>
      </c>
      <c r="B13" s="1" t="s">
        <v>74</v>
      </c>
      <c r="C13" s="1" t="s">
        <v>75</v>
      </c>
      <c r="D13" s="1" t="s">
        <v>92</v>
      </c>
      <c r="E13" s="1">
        <v>2021</v>
      </c>
      <c r="F13" s="1">
        <v>12</v>
      </c>
      <c r="G13" s="1">
        <v>1</v>
      </c>
      <c r="H13" s="7">
        <v>44531</v>
      </c>
      <c r="I13" s="1" t="s">
        <v>102</v>
      </c>
      <c r="J13" s="1" t="s">
        <v>102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4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>
        <v>241206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5"/>
      <c r="BJ13" s="1"/>
      <c r="BK13" s="1"/>
    </row>
    <row r="14" spans="1:64" ht="15.75" customHeight="1" x14ac:dyDescent="0.3">
      <c r="A14" s="1" t="s">
        <v>73</v>
      </c>
      <c r="B14" s="1" t="s">
        <v>74</v>
      </c>
      <c r="C14" s="1" t="s">
        <v>75</v>
      </c>
      <c r="D14" s="1" t="s">
        <v>76</v>
      </c>
      <c r="E14" s="4">
        <v>2020</v>
      </c>
      <c r="F14" s="5">
        <v>9</v>
      </c>
      <c r="G14" s="5">
        <v>23</v>
      </c>
      <c r="H14" s="6">
        <v>44097</v>
      </c>
      <c r="I14" s="4" t="s">
        <v>103</v>
      </c>
      <c r="J14" s="4" t="s">
        <v>95</v>
      </c>
      <c r="K14" s="4" t="s">
        <v>79</v>
      </c>
      <c r="L14" s="4" t="s">
        <v>80</v>
      </c>
      <c r="M14" s="4" t="s">
        <v>99</v>
      </c>
      <c r="N14" s="4"/>
      <c r="O14" s="4"/>
      <c r="P14" s="4" t="s">
        <v>84</v>
      </c>
      <c r="Q14" s="1" t="s">
        <v>84</v>
      </c>
      <c r="R14" s="1" t="s">
        <v>84</v>
      </c>
      <c r="S14" s="1" t="s">
        <v>83</v>
      </c>
      <c r="T14" s="1" t="s">
        <v>84</v>
      </c>
      <c r="U14" s="1" t="s">
        <v>84</v>
      </c>
      <c r="V14" s="1" t="s">
        <v>83</v>
      </c>
      <c r="W14" s="1" t="s">
        <v>84</v>
      </c>
      <c r="X14" s="1" t="s">
        <v>84</v>
      </c>
      <c r="Y14" s="1" t="s">
        <v>84</v>
      </c>
      <c r="Z14" s="1" t="s">
        <v>84</v>
      </c>
      <c r="AA14" s="1" t="s">
        <v>84</v>
      </c>
      <c r="AB14" s="1" t="s">
        <v>84</v>
      </c>
      <c r="AC14" s="1" t="s">
        <v>84</v>
      </c>
      <c r="AD14" s="1" t="s">
        <v>84</v>
      </c>
      <c r="AE14" s="1" t="s">
        <v>84</v>
      </c>
      <c r="AF14" s="1" t="s">
        <v>84</v>
      </c>
      <c r="AG14" s="4" t="s">
        <v>83</v>
      </c>
      <c r="AH14" s="4" t="s">
        <v>83</v>
      </c>
      <c r="AI14" s="4" t="s">
        <v>83</v>
      </c>
      <c r="AJ14" s="4" t="s">
        <v>83</v>
      </c>
      <c r="AK14" s="4" t="s">
        <v>85</v>
      </c>
      <c r="AL14" s="4">
        <v>5000</v>
      </c>
      <c r="AM14" s="4">
        <v>0</v>
      </c>
      <c r="AN14" s="4" t="s">
        <v>101</v>
      </c>
      <c r="AO14" s="5">
        <v>1.5990000000000001E-2</v>
      </c>
      <c r="AP14" s="4" t="s">
        <v>87</v>
      </c>
      <c r="AQ14" s="4" t="s">
        <v>88</v>
      </c>
      <c r="AR14" s="4" t="s">
        <v>89</v>
      </c>
      <c r="AS14" s="4"/>
      <c r="AT14" s="4"/>
      <c r="AU14" s="4"/>
      <c r="AV14" s="4"/>
      <c r="AW14" s="5">
        <v>100</v>
      </c>
      <c r="AX14" s="5">
        <v>4</v>
      </c>
      <c r="AY14" s="5">
        <v>0.5</v>
      </c>
      <c r="AZ14" s="5">
        <v>1</v>
      </c>
      <c r="BA14" s="5">
        <v>241206</v>
      </c>
      <c r="BB14" s="5">
        <v>0.85</v>
      </c>
      <c r="BC14" s="5">
        <v>0.54700000000000004</v>
      </c>
      <c r="BD14" s="5">
        <v>0.77600000000000002</v>
      </c>
      <c r="BE14" s="5">
        <v>0.54100000000000004</v>
      </c>
      <c r="BF14" s="5">
        <v>0.86499999999999999</v>
      </c>
      <c r="BG14" s="5">
        <v>0.95</v>
      </c>
      <c r="BH14" s="5">
        <v>500</v>
      </c>
      <c r="BI14" s="5" t="s">
        <v>85</v>
      </c>
      <c r="BJ14" s="5"/>
      <c r="BK14" s="5"/>
      <c r="BL14" s="4"/>
    </row>
    <row r="15" spans="1:64" ht="15.75" customHeight="1" x14ac:dyDescent="0.3">
      <c r="A15" s="1" t="s">
        <v>73</v>
      </c>
      <c r="B15" s="1" t="s">
        <v>74</v>
      </c>
      <c r="C15" s="1" t="s">
        <v>75</v>
      </c>
      <c r="D15" s="1" t="s">
        <v>76</v>
      </c>
      <c r="E15" s="4">
        <v>2019</v>
      </c>
      <c r="F15" s="5">
        <v>10</v>
      </c>
      <c r="G15" s="5">
        <v>25</v>
      </c>
      <c r="H15" s="8">
        <v>43763</v>
      </c>
      <c r="I15" s="4" t="s">
        <v>103</v>
      </c>
      <c r="J15" s="4" t="s">
        <v>95</v>
      </c>
      <c r="K15" s="4" t="s">
        <v>79</v>
      </c>
      <c r="L15" s="4" t="s">
        <v>80</v>
      </c>
      <c r="M15" s="4" t="s">
        <v>99</v>
      </c>
      <c r="N15" s="4" t="s">
        <v>81</v>
      </c>
      <c r="O15" s="4"/>
      <c r="P15" s="4" t="s">
        <v>83</v>
      </c>
      <c r="Q15" s="1" t="s">
        <v>84</v>
      </c>
      <c r="R15" s="1" t="s">
        <v>84</v>
      </c>
      <c r="S15" s="1" t="s">
        <v>83</v>
      </c>
      <c r="T15" s="1" t="s">
        <v>83</v>
      </c>
      <c r="U15" s="1" t="s">
        <v>83</v>
      </c>
      <c r="V15" s="1" t="s">
        <v>83</v>
      </c>
      <c r="W15" s="1" t="s">
        <v>84</v>
      </c>
      <c r="X15" s="1" t="s">
        <v>84</v>
      </c>
      <c r="Y15" s="1" t="s">
        <v>84</v>
      </c>
      <c r="Z15" s="1" t="s">
        <v>84</v>
      </c>
      <c r="AA15" s="1" t="s">
        <v>83</v>
      </c>
      <c r="AB15" s="1" t="s">
        <v>84</v>
      </c>
      <c r="AC15" s="1" t="s">
        <v>84</v>
      </c>
      <c r="AD15" s="1" t="s">
        <v>84</v>
      </c>
      <c r="AE15" s="1" t="s">
        <v>84</v>
      </c>
      <c r="AF15" s="1" t="s">
        <v>84</v>
      </c>
      <c r="AG15" s="4" t="s">
        <v>83</v>
      </c>
      <c r="AH15" s="4" t="s">
        <v>83</v>
      </c>
      <c r="AI15" s="4" t="s">
        <v>83</v>
      </c>
      <c r="AJ15" s="4" t="s">
        <v>83</v>
      </c>
      <c r="AK15" s="4" t="s">
        <v>85</v>
      </c>
      <c r="AL15" s="4">
        <v>1810</v>
      </c>
      <c r="AM15" s="4">
        <v>0</v>
      </c>
      <c r="AN15" s="4" t="s">
        <v>101</v>
      </c>
      <c r="AO15" s="5">
        <v>0.02</v>
      </c>
      <c r="AP15" s="4" t="s">
        <v>87</v>
      </c>
      <c r="AQ15" s="4" t="s">
        <v>88</v>
      </c>
      <c r="AR15" s="4" t="s">
        <v>89</v>
      </c>
      <c r="AS15" s="4" t="s">
        <v>93</v>
      </c>
      <c r="AT15" s="4"/>
      <c r="AU15" s="4"/>
      <c r="AV15" s="4"/>
      <c r="AW15" s="5">
        <v>100</v>
      </c>
      <c r="AX15" s="5">
        <v>8</v>
      </c>
      <c r="AY15" s="5">
        <v>0.5</v>
      </c>
      <c r="AZ15" s="5">
        <v>1</v>
      </c>
      <c r="BA15" s="5">
        <v>241206</v>
      </c>
      <c r="BB15" s="5">
        <v>0.90400000000000003</v>
      </c>
      <c r="BC15" s="5">
        <v>0.48699999999999999</v>
      </c>
      <c r="BD15" s="5">
        <v>0.93100000000000005</v>
      </c>
      <c r="BE15" s="5">
        <v>0.37</v>
      </c>
      <c r="BF15" s="5">
        <v>0.90200000000000002</v>
      </c>
      <c r="BG15" s="5">
        <v>0.995</v>
      </c>
      <c r="BH15" s="5">
        <v>500</v>
      </c>
      <c r="BI15" s="5" t="s">
        <v>85</v>
      </c>
      <c r="BJ15" s="5"/>
      <c r="BK15" s="5"/>
      <c r="BL15" s="4"/>
    </row>
    <row r="16" spans="1:64" ht="15.75" customHeight="1" x14ac:dyDescent="0.3">
      <c r="A16" s="1" t="s">
        <v>73</v>
      </c>
      <c r="B16" s="1" t="s">
        <v>74</v>
      </c>
      <c r="C16" s="1" t="s">
        <v>75</v>
      </c>
      <c r="D16" s="1" t="s">
        <v>76</v>
      </c>
      <c r="E16" s="4">
        <v>2018</v>
      </c>
      <c r="F16" s="5">
        <v>8</v>
      </c>
      <c r="G16" s="5">
        <v>1</v>
      </c>
      <c r="H16" s="6">
        <v>43313</v>
      </c>
      <c r="I16" s="4" t="s">
        <v>102</v>
      </c>
      <c r="J16" s="4" t="s">
        <v>102</v>
      </c>
      <c r="K16" s="4"/>
      <c r="L16" s="4"/>
      <c r="M16" s="4"/>
      <c r="N16" s="4"/>
      <c r="O16" s="4"/>
      <c r="P16" s="4"/>
      <c r="Q16" s="4"/>
      <c r="R16" s="4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4"/>
      <c r="AI16" s="4"/>
      <c r="AJ16" s="4"/>
      <c r="AK16" s="4"/>
      <c r="AL16" s="4"/>
      <c r="AM16" s="4"/>
      <c r="AN16" s="4"/>
      <c r="AO16" s="4"/>
      <c r="AP16" s="4"/>
      <c r="AQ16" s="4" t="s">
        <v>88</v>
      </c>
      <c r="AR16" s="4" t="s">
        <v>89</v>
      </c>
      <c r="AS16" s="4"/>
      <c r="AT16" s="4"/>
      <c r="AU16" s="4"/>
      <c r="AV16" s="4"/>
      <c r="AW16" s="4"/>
      <c r="AX16" s="4"/>
      <c r="AY16" s="4"/>
      <c r="AZ16" s="4"/>
      <c r="BA16" s="5">
        <v>180801</v>
      </c>
      <c r="BB16" s="5">
        <v>1</v>
      </c>
      <c r="BC16" s="5">
        <v>1</v>
      </c>
      <c r="BD16" s="5">
        <v>1</v>
      </c>
      <c r="BE16" s="5">
        <v>1</v>
      </c>
      <c r="BF16" s="5">
        <v>1</v>
      </c>
      <c r="BG16" s="5">
        <v>1</v>
      </c>
      <c r="BH16" s="5">
        <v>0</v>
      </c>
      <c r="BI16" s="5"/>
      <c r="BJ16" s="5"/>
      <c r="BK16" s="5"/>
      <c r="BL16" s="4" t="s">
        <v>104</v>
      </c>
    </row>
    <row r="17" spans="1:53" ht="15.75" customHeight="1" x14ac:dyDescent="0.3">
      <c r="A17" s="1" t="s">
        <v>73</v>
      </c>
      <c r="B17" s="1" t="s">
        <v>74</v>
      </c>
      <c r="C17" s="1" t="s">
        <v>75</v>
      </c>
      <c r="D17" s="1" t="s">
        <v>76</v>
      </c>
      <c r="E17" s="1">
        <v>2025</v>
      </c>
      <c r="F17" s="1">
        <v>9</v>
      </c>
      <c r="G17" s="1">
        <v>3</v>
      </c>
      <c r="H17" s="7">
        <v>45903</v>
      </c>
      <c r="I17" s="1" t="s">
        <v>77</v>
      </c>
      <c r="J17" s="1" t="s">
        <v>78</v>
      </c>
      <c r="K17" s="4" t="s">
        <v>79</v>
      </c>
      <c r="L17" s="4" t="s">
        <v>79</v>
      </c>
      <c r="M17" s="4" t="s">
        <v>81</v>
      </c>
      <c r="N17" s="4" t="s">
        <v>82</v>
      </c>
      <c r="O17" s="4"/>
      <c r="P17" s="4" t="s">
        <v>83</v>
      </c>
      <c r="Q17" s="4" t="s">
        <v>83</v>
      </c>
      <c r="R17" s="4" t="s">
        <v>84</v>
      </c>
      <c r="S17" s="1" t="s">
        <v>83</v>
      </c>
      <c r="T17" s="1" t="s">
        <v>83</v>
      </c>
      <c r="U17" s="1" t="s">
        <v>83</v>
      </c>
      <c r="V17" s="1" t="s">
        <v>83</v>
      </c>
      <c r="W17" s="1" t="s">
        <v>83</v>
      </c>
      <c r="X17" s="1" t="s">
        <v>83</v>
      </c>
      <c r="Y17" s="1" t="s">
        <v>84</v>
      </c>
      <c r="Z17" s="1" t="s">
        <v>83</v>
      </c>
      <c r="AA17" s="1" t="s">
        <v>83</v>
      </c>
      <c r="AB17" s="1" t="s">
        <v>83</v>
      </c>
      <c r="AC17" s="1" t="s">
        <v>83</v>
      </c>
      <c r="AD17" s="1" t="s">
        <v>84</v>
      </c>
      <c r="AE17" s="1" t="s">
        <v>84</v>
      </c>
      <c r="AF17" s="1" t="s">
        <v>83</v>
      </c>
      <c r="AG17" s="1" t="s">
        <v>83</v>
      </c>
      <c r="AH17" s="4" t="s">
        <v>83</v>
      </c>
      <c r="AI17" s="4" t="s">
        <v>83</v>
      </c>
      <c r="AJ17" s="4" t="s">
        <v>83</v>
      </c>
      <c r="AK17" s="1" t="s">
        <v>85</v>
      </c>
      <c r="AL17" s="1">
        <v>1226</v>
      </c>
      <c r="AM17" s="1">
        <v>0.5</v>
      </c>
      <c r="AN17" s="4" t="s">
        <v>105</v>
      </c>
      <c r="AP17" s="4" t="s">
        <v>87</v>
      </c>
      <c r="AQ17" s="4" t="s">
        <v>88</v>
      </c>
      <c r="AR17" s="4" t="s">
        <v>89</v>
      </c>
      <c r="AS17" s="4"/>
      <c r="AT17" s="4"/>
      <c r="AU17" s="4"/>
      <c r="AV17" s="4"/>
      <c r="AW17" s="1">
        <v>1000</v>
      </c>
      <c r="AX17" s="1">
        <v>5</v>
      </c>
      <c r="AY17" s="1">
        <v>0.8</v>
      </c>
      <c r="AZ17" s="1">
        <v>1</v>
      </c>
      <c r="BA17" s="1">
        <v>260320</v>
      </c>
    </row>
  </sheetData>
  <mergeCells count="6">
    <mergeCell ref="BJ2:BK2"/>
    <mergeCell ref="A2:D2"/>
    <mergeCell ref="E2:H2"/>
    <mergeCell ref="I2:O2"/>
    <mergeCell ref="P2:BA2"/>
    <mergeCell ref="BB2:BH2"/>
  </mergeCells>
  <dataValidations count="5">
    <dataValidation type="list" allowBlank="1" sqref="L4 O4 L6 O6 L7:O7 L8 O8 L10:L11 O10:O11 L13 O13" xr:uid="{00000000-0002-0000-0200-000000000000}">
      <formula1>"Red,Green,Blue,Red-edge,Near-Infrared,Elevation,Garbage"</formula1>
    </dataValidation>
    <dataValidation type="list" allowBlank="1" showErrorMessage="1" sqref="AP3:AP17" xr:uid="{00000000-0002-0000-0200-000001000000}">
      <formula1>"Random Forest,SVM"</formula1>
    </dataValidation>
    <dataValidation type="list" allowBlank="1" showErrorMessage="1" sqref="AQ3:AV17" xr:uid="{00000000-0002-0000-0200-000002000000}">
      <formula1>"Unvegetated,Vegetated,VegetatedWoody,WetSediment,UlvaWrack,Water,Ulva"</formula1>
    </dataValidation>
    <dataValidation type="list" allowBlank="1" sqref="K3:O3 K4 M4:N4 K5:O5 M6:N6 K6:K8 M8:N8 K9:O9 K10:K11 M10:N11 K12:O12 K13 M13:N13 K14:O17" xr:uid="{00000000-0002-0000-0200-000003000000}">
      <formula1>"Red,Green,Blue,Red-edge,Near-Infrared,Elevation"</formula1>
    </dataValidation>
    <dataValidation type="list" allowBlank="1" showErrorMessage="1" sqref="P3:AJ17" xr:uid="{00000000-0002-0000-0200-000004000000}">
      <formula1>"Yes,No"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Q47"/>
  <sheetViews>
    <sheetView workbookViewId="0"/>
  </sheetViews>
  <sheetFormatPr defaultColWidth="12.61328125" defaultRowHeight="15.75" customHeight="1" x14ac:dyDescent="0.3"/>
  <cols>
    <col min="1" max="1" width="23.23046875" customWidth="1"/>
  </cols>
  <sheetData>
    <row r="1" spans="1:17" ht="15.75" customHeight="1" x14ac:dyDescent="0.3">
      <c r="A1" s="9" t="s">
        <v>106</v>
      </c>
      <c r="B1" s="9" t="s">
        <v>107</v>
      </c>
      <c r="C1" s="9" t="s">
        <v>108</v>
      </c>
      <c r="D1" s="9" t="s">
        <v>57</v>
      </c>
      <c r="E1" s="9" t="s">
        <v>58</v>
      </c>
    </row>
    <row r="2" spans="1:17" ht="15.75" customHeight="1" x14ac:dyDescent="0.3">
      <c r="A2" s="10" t="s">
        <v>109</v>
      </c>
      <c r="B2" s="10"/>
      <c r="C2" s="10"/>
      <c r="D2" s="10"/>
      <c r="E2" s="10"/>
    </row>
    <row r="3" spans="1:17" ht="15.75" customHeight="1" x14ac:dyDescent="0.3">
      <c r="A3" s="11">
        <v>0</v>
      </c>
      <c r="B3" s="12"/>
      <c r="C3" s="13"/>
      <c r="D3" s="11" t="e">
        <f>B3/(B3+C3)</f>
        <v>#DIV/0!</v>
      </c>
    </row>
    <row r="4" spans="1:17" ht="15.75" customHeight="1" x14ac:dyDescent="0.3">
      <c r="A4" s="14">
        <v>1</v>
      </c>
      <c r="B4" s="13"/>
      <c r="C4" s="12"/>
      <c r="D4" s="14" t="e">
        <f>C4/(B4+C4)</f>
        <v>#DIV/0!</v>
      </c>
    </row>
    <row r="5" spans="1:17" ht="15.75" customHeight="1" x14ac:dyDescent="0.3">
      <c r="B5" s="15" t="e">
        <f>B3/(B3+B4)</f>
        <v>#DIV/0!</v>
      </c>
      <c r="C5" s="16" t="e">
        <f>C4/(C3+C4)</f>
        <v>#DIV/0!</v>
      </c>
      <c r="D5" s="17">
        <f>B3+B4+C3+C4</f>
        <v>0</v>
      </c>
    </row>
    <row r="8" spans="1:17" ht="15.75" customHeight="1" x14ac:dyDescent="0.3">
      <c r="A8" s="22" t="s">
        <v>110</v>
      </c>
      <c r="B8" s="20"/>
      <c r="C8" s="20"/>
      <c r="D8" s="20"/>
      <c r="E8" s="20"/>
      <c r="G8" s="23" t="s">
        <v>111</v>
      </c>
      <c r="H8" s="20"/>
      <c r="I8" s="20"/>
      <c r="J8" s="20"/>
      <c r="K8" s="20"/>
      <c r="M8" s="24" t="s">
        <v>112</v>
      </c>
      <c r="N8" s="20"/>
      <c r="O8" s="20"/>
      <c r="P8" s="20"/>
      <c r="Q8" s="20"/>
    </row>
    <row r="10" spans="1:17" ht="15.75" customHeight="1" x14ac:dyDescent="0.3">
      <c r="A10" s="9">
        <v>0.374</v>
      </c>
      <c r="B10" s="9" t="s">
        <v>107</v>
      </c>
      <c r="C10" s="9" t="s">
        <v>108</v>
      </c>
      <c r="D10" s="9" t="s">
        <v>57</v>
      </c>
      <c r="E10" s="9" t="s">
        <v>58</v>
      </c>
      <c r="G10" s="9" t="s">
        <v>106</v>
      </c>
      <c r="H10" s="9" t="s">
        <v>107</v>
      </c>
      <c r="I10" s="9" t="s">
        <v>108</v>
      </c>
      <c r="J10" s="9" t="s">
        <v>57</v>
      </c>
      <c r="K10" s="9" t="s">
        <v>58</v>
      </c>
    </row>
    <row r="11" spans="1:17" ht="15.75" customHeight="1" x14ac:dyDescent="0.3">
      <c r="A11" s="10" t="s">
        <v>113</v>
      </c>
      <c r="B11" s="10">
        <v>191025</v>
      </c>
      <c r="C11" s="10">
        <v>241215</v>
      </c>
      <c r="D11" s="10">
        <v>0.90400000000000003</v>
      </c>
      <c r="E11" s="10">
        <v>0.48699999999999999</v>
      </c>
      <c r="G11" s="10" t="s">
        <v>109</v>
      </c>
      <c r="H11" s="10">
        <v>220610</v>
      </c>
      <c r="I11" s="10">
        <v>250204</v>
      </c>
      <c r="J11" s="10">
        <v>0.95</v>
      </c>
      <c r="K11" s="10">
        <v>0.53900000000000003</v>
      </c>
    </row>
    <row r="12" spans="1:17" ht="15.75" customHeight="1" x14ac:dyDescent="0.3">
      <c r="A12" s="11">
        <v>0</v>
      </c>
      <c r="B12" s="12">
        <v>425</v>
      </c>
      <c r="C12" s="13">
        <v>46</v>
      </c>
      <c r="D12" s="11">
        <f>B12/(B12+C12)</f>
        <v>0.90233545647558389</v>
      </c>
      <c r="G12" s="11">
        <v>0</v>
      </c>
      <c r="H12" s="12">
        <v>459</v>
      </c>
      <c r="I12" s="13">
        <v>24</v>
      </c>
      <c r="J12" s="11">
        <f>H12/(H12+I12)</f>
        <v>0.9503105590062112</v>
      </c>
    </row>
    <row r="13" spans="1:17" ht="15.75" customHeight="1" x14ac:dyDescent="0.3">
      <c r="A13" s="14">
        <v>1</v>
      </c>
      <c r="B13" s="13">
        <v>2</v>
      </c>
      <c r="C13" s="12">
        <v>27</v>
      </c>
      <c r="D13" s="14">
        <f>C13/(B13+C13)</f>
        <v>0.93103448275862066</v>
      </c>
      <c r="G13" s="14">
        <v>1</v>
      </c>
      <c r="H13" s="13">
        <v>1</v>
      </c>
      <c r="I13" s="12">
        <v>16</v>
      </c>
      <c r="J13" s="14">
        <f>I13/(H13+I13)</f>
        <v>0.94117647058823528</v>
      </c>
    </row>
    <row r="14" spans="1:17" ht="15.75" customHeight="1" x14ac:dyDescent="0.3">
      <c r="B14" s="15">
        <f>B12/(B12+B13)</f>
        <v>0.99531615925058547</v>
      </c>
      <c r="C14" s="16">
        <f>C13/(C12+C13)</f>
        <v>0.36986301369863012</v>
      </c>
      <c r="D14" s="17">
        <f>B12+B13+C12+C13</f>
        <v>500</v>
      </c>
      <c r="H14" s="15">
        <f>H12/(H12+H13)</f>
        <v>0.99782608695652175</v>
      </c>
      <c r="I14" s="16">
        <f>I13/(I12+I13)</f>
        <v>0.4</v>
      </c>
      <c r="J14" s="17">
        <f>H12+H13+I12+I13</f>
        <v>500</v>
      </c>
    </row>
    <row r="17" spans="1:11" ht="15.75" customHeight="1" x14ac:dyDescent="0.3">
      <c r="A17" s="9" t="s">
        <v>106</v>
      </c>
      <c r="B17" s="9" t="s">
        <v>107</v>
      </c>
      <c r="C17" s="9" t="s">
        <v>108</v>
      </c>
      <c r="D17" s="9" t="s">
        <v>57</v>
      </c>
      <c r="E17" s="9" t="s">
        <v>58</v>
      </c>
      <c r="G17" s="9" t="s">
        <v>106</v>
      </c>
      <c r="H17" s="9" t="s">
        <v>107</v>
      </c>
      <c r="I17" s="9" t="s">
        <v>108</v>
      </c>
      <c r="J17" s="9" t="s">
        <v>57</v>
      </c>
      <c r="K17" s="9" t="s">
        <v>58</v>
      </c>
    </row>
    <row r="18" spans="1:11" ht="15.75" customHeight="1" x14ac:dyDescent="0.3">
      <c r="A18" s="10" t="s">
        <v>113</v>
      </c>
      <c r="B18" s="10">
        <v>200923</v>
      </c>
      <c r="C18" s="10">
        <v>241206</v>
      </c>
      <c r="D18" s="10">
        <v>0.85</v>
      </c>
      <c r="E18" s="10">
        <v>0.54700000000000004</v>
      </c>
      <c r="G18" s="10" t="s">
        <v>114</v>
      </c>
      <c r="H18" s="10">
        <v>220930</v>
      </c>
      <c r="I18" s="10">
        <v>241206</v>
      </c>
      <c r="J18" s="10">
        <v>0.90800000000000003</v>
      </c>
      <c r="K18" s="10">
        <v>0.67100000000000004</v>
      </c>
    </row>
    <row r="19" spans="1:11" ht="15.75" customHeight="1" x14ac:dyDescent="0.3">
      <c r="A19" s="11">
        <v>0</v>
      </c>
      <c r="B19" s="12">
        <f>181+178</f>
        <v>359</v>
      </c>
      <c r="C19" s="13">
        <f>30+26</f>
        <v>56</v>
      </c>
      <c r="D19" s="11">
        <f>B19/(B19+C19)</f>
        <v>0.86506024096385548</v>
      </c>
      <c r="G19" s="11">
        <v>0</v>
      </c>
      <c r="H19" s="12">
        <v>394</v>
      </c>
      <c r="I19" s="13">
        <v>41</v>
      </c>
      <c r="J19" s="11">
        <f>H19/(H19+I19)</f>
        <v>0.90574712643678157</v>
      </c>
    </row>
    <row r="20" spans="1:11" ht="15.75" customHeight="1" x14ac:dyDescent="0.3">
      <c r="A20" s="14">
        <v>1</v>
      </c>
      <c r="B20" s="13">
        <f>11+8</f>
        <v>19</v>
      </c>
      <c r="C20" s="12">
        <f>31+35</f>
        <v>66</v>
      </c>
      <c r="D20" s="14">
        <f>C20/(B20+C20)</f>
        <v>0.77647058823529413</v>
      </c>
      <c r="G20" s="14">
        <v>1</v>
      </c>
      <c r="H20" s="13">
        <v>5</v>
      </c>
      <c r="I20" s="12">
        <v>60</v>
      </c>
      <c r="J20" s="14">
        <f>I20/(H20+I20)</f>
        <v>0.92307692307692313</v>
      </c>
    </row>
    <row r="21" spans="1:11" ht="15.75" customHeight="1" x14ac:dyDescent="0.3">
      <c r="B21" s="15">
        <f>B19/(B19+B20)</f>
        <v>0.94973544973544977</v>
      </c>
      <c r="C21" s="16">
        <f>C20/(C19+C20)</f>
        <v>0.54098360655737709</v>
      </c>
      <c r="D21" s="17">
        <f>B19+B20+C19+C20</f>
        <v>500</v>
      </c>
      <c r="H21" s="15">
        <f>H19/(H19+H20)</f>
        <v>0.98746867167919794</v>
      </c>
      <c r="I21" s="16">
        <f>I20/(I19+I20)</f>
        <v>0.59405940594059403</v>
      </c>
      <c r="J21" s="17">
        <f>H19+H20+I19+I20</f>
        <v>500</v>
      </c>
    </row>
    <row r="24" spans="1:11" ht="15.75" customHeight="1" x14ac:dyDescent="0.3">
      <c r="A24" s="9" t="s">
        <v>106</v>
      </c>
      <c r="B24" s="9" t="s">
        <v>107</v>
      </c>
      <c r="C24" s="9" t="s">
        <v>108</v>
      </c>
      <c r="D24" s="9" t="s">
        <v>57</v>
      </c>
      <c r="E24" s="9" t="s">
        <v>58</v>
      </c>
      <c r="G24" s="9" t="s">
        <v>106</v>
      </c>
      <c r="H24" s="9" t="s">
        <v>107</v>
      </c>
      <c r="I24" s="9" t="s">
        <v>108</v>
      </c>
      <c r="J24" s="9" t="s">
        <v>57</v>
      </c>
      <c r="K24" s="9" t="s">
        <v>58</v>
      </c>
    </row>
    <row r="25" spans="1:11" ht="15.75" customHeight="1" x14ac:dyDescent="0.3">
      <c r="A25" s="10" t="s">
        <v>113</v>
      </c>
      <c r="B25" s="10">
        <v>210826</v>
      </c>
      <c r="C25" s="10">
        <v>241206</v>
      </c>
      <c r="D25" s="10">
        <v>0.86970000000000003</v>
      </c>
      <c r="E25" s="10">
        <v>0.58199999999999996</v>
      </c>
      <c r="G25" s="10" t="s">
        <v>109</v>
      </c>
      <c r="H25" s="10">
        <v>230302</v>
      </c>
      <c r="I25" s="10">
        <v>241204</v>
      </c>
      <c r="J25" s="10">
        <v>0.89019999999999999</v>
      </c>
      <c r="K25" s="10">
        <v>0.70199999999999996</v>
      </c>
    </row>
    <row r="26" spans="1:11" ht="15.75" customHeight="1" x14ac:dyDescent="0.3">
      <c r="A26" s="11">
        <v>0</v>
      </c>
      <c r="B26" s="12">
        <f>356+2+6+7</f>
        <v>371</v>
      </c>
      <c r="C26" s="13">
        <v>49</v>
      </c>
      <c r="D26" s="11">
        <f>B26/(B26+C26)</f>
        <v>0.8833333333333333</v>
      </c>
      <c r="G26" s="11">
        <v>0</v>
      </c>
      <c r="H26" s="12">
        <f>352</f>
        <v>352</v>
      </c>
      <c r="I26" s="13">
        <f>36+2</f>
        <v>38</v>
      </c>
      <c r="J26" s="11">
        <f>H26/(H26+I26)</f>
        <v>0.90256410256410258</v>
      </c>
    </row>
    <row r="27" spans="1:11" ht="15.75" customHeight="1" x14ac:dyDescent="0.3">
      <c r="A27" s="14">
        <v>1</v>
      </c>
      <c r="B27" s="13">
        <v>16</v>
      </c>
      <c r="C27" s="12">
        <f>15+9+9+30</f>
        <v>63</v>
      </c>
      <c r="D27" s="14">
        <f>C27/(B27+C27)</f>
        <v>0.79746835443037978</v>
      </c>
      <c r="G27" s="14">
        <v>1</v>
      </c>
      <c r="H27" s="13">
        <f>2+15</f>
        <v>17</v>
      </c>
      <c r="I27" s="12">
        <f>21+4+14+55</f>
        <v>94</v>
      </c>
      <c r="J27" s="14">
        <f>I27/(H27+I27)</f>
        <v>0.84684684684684686</v>
      </c>
    </row>
    <row r="28" spans="1:11" ht="15.75" customHeight="1" x14ac:dyDescent="0.3">
      <c r="B28" s="15">
        <f>B26/(B26+B27)</f>
        <v>0.95865633074935397</v>
      </c>
      <c r="C28" s="16">
        <f>C27/(C26+C27)</f>
        <v>0.5625</v>
      </c>
      <c r="D28" s="17">
        <f>B26+B27+C26+C27</f>
        <v>499</v>
      </c>
      <c r="H28" s="15">
        <f>H26/(H26+H27)</f>
        <v>0.95392953929539293</v>
      </c>
      <c r="I28" s="16">
        <f>I27/(I26+I27)</f>
        <v>0.71212121212121215</v>
      </c>
      <c r="J28" s="17">
        <f>H26+H27+I26+I27</f>
        <v>501</v>
      </c>
    </row>
    <row r="30" spans="1:11" ht="12.45" x14ac:dyDescent="0.3">
      <c r="A30" s="9" t="s">
        <v>106</v>
      </c>
      <c r="B30" s="9" t="s">
        <v>107</v>
      </c>
      <c r="C30" s="9" t="s">
        <v>108</v>
      </c>
      <c r="D30" s="9" t="s">
        <v>57</v>
      </c>
      <c r="E30" s="9" t="s">
        <v>58</v>
      </c>
      <c r="G30" s="9" t="s">
        <v>106</v>
      </c>
      <c r="H30" s="9" t="s">
        <v>107</v>
      </c>
      <c r="I30" s="9" t="s">
        <v>108</v>
      </c>
      <c r="J30" s="9" t="s">
        <v>57</v>
      </c>
      <c r="K30" s="9" t="s">
        <v>58</v>
      </c>
    </row>
    <row r="31" spans="1:11" ht="12.45" x14ac:dyDescent="0.3">
      <c r="A31" s="10" t="s">
        <v>113</v>
      </c>
      <c r="B31" s="10">
        <v>220902</v>
      </c>
      <c r="C31" s="10">
        <v>241206</v>
      </c>
      <c r="D31" s="10">
        <v>0.9002</v>
      </c>
      <c r="E31" s="10">
        <v>0.69599999999999995</v>
      </c>
      <c r="G31" s="10" t="s">
        <v>114</v>
      </c>
      <c r="H31" s="10">
        <v>230808</v>
      </c>
      <c r="I31" s="10">
        <v>241206</v>
      </c>
      <c r="J31" s="10">
        <v>0.85</v>
      </c>
      <c r="K31" s="10">
        <v>0.66</v>
      </c>
    </row>
    <row r="32" spans="1:11" ht="12.45" x14ac:dyDescent="0.3">
      <c r="B32" s="15">
        <v>0</v>
      </c>
      <c r="C32" s="16">
        <v>1</v>
      </c>
      <c r="G32" s="11">
        <v>0</v>
      </c>
      <c r="H32" s="12">
        <f>299</f>
        <v>299</v>
      </c>
      <c r="I32" s="13">
        <v>51</v>
      </c>
      <c r="J32" s="11">
        <f>H32/(H32+I32)</f>
        <v>0.85428571428571431</v>
      </c>
    </row>
    <row r="33" spans="1:11" ht="12.45" x14ac:dyDescent="0.3">
      <c r="A33" s="11">
        <v>0</v>
      </c>
      <c r="B33" s="12">
        <v>366</v>
      </c>
      <c r="C33" s="13">
        <v>43</v>
      </c>
      <c r="D33" s="11">
        <f>B33/(B33+C33)</f>
        <v>0.89486552567237165</v>
      </c>
      <c r="G33" s="14">
        <v>1</v>
      </c>
      <c r="H33" s="13">
        <v>24</v>
      </c>
      <c r="I33" s="12">
        <f>37+35+8+46</f>
        <v>126</v>
      </c>
      <c r="J33" s="14">
        <f>I33/(H33+I33)</f>
        <v>0.84</v>
      </c>
    </row>
    <row r="34" spans="1:11" ht="12.45" x14ac:dyDescent="0.3">
      <c r="A34" s="14">
        <v>1</v>
      </c>
      <c r="B34" s="13">
        <v>6</v>
      </c>
      <c r="C34" s="12">
        <v>76</v>
      </c>
      <c r="D34" s="14">
        <f>C34/(B34+C34)</f>
        <v>0.92682926829268297</v>
      </c>
      <c r="H34" s="15">
        <f>H32/(H32+H33)</f>
        <v>0.92569659442724461</v>
      </c>
      <c r="I34" s="16">
        <f>I33/(I32+I33)</f>
        <v>0.71186440677966101</v>
      </c>
      <c r="J34" s="17">
        <f>H32+H33+I32+I33</f>
        <v>500</v>
      </c>
    </row>
    <row r="35" spans="1:11" ht="12.45" x14ac:dyDescent="0.3">
      <c r="B35" s="15">
        <f>B33/(B33+B34)</f>
        <v>0.9838709677419355</v>
      </c>
      <c r="C35" s="16">
        <f>C34/(C33+C34)</f>
        <v>0.6386554621848739</v>
      </c>
      <c r="D35" s="17">
        <f>B33+B34+C33+C34</f>
        <v>491</v>
      </c>
    </row>
    <row r="36" spans="1:11" ht="12.45" x14ac:dyDescent="0.3">
      <c r="G36" s="9" t="s">
        <v>106</v>
      </c>
      <c r="H36" s="9" t="s">
        <v>107</v>
      </c>
      <c r="I36" s="9" t="s">
        <v>108</v>
      </c>
      <c r="J36" s="9" t="s">
        <v>57</v>
      </c>
      <c r="K36" s="9" t="s">
        <v>58</v>
      </c>
    </row>
    <row r="37" spans="1:11" ht="12.45" x14ac:dyDescent="0.3">
      <c r="A37" s="9" t="s">
        <v>106</v>
      </c>
      <c r="B37" s="9" t="s">
        <v>107</v>
      </c>
      <c r="C37" s="9" t="s">
        <v>108</v>
      </c>
      <c r="D37" s="9" t="s">
        <v>57</v>
      </c>
      <c r="E37" s="9" t="s">
        <v>58</v>
      </c>
      <c r="G37" s="10" t="s">
        <v>114</v>
      </c>
      <c r="H37" s="10">
        <v>240813</v>
      </c>
      <c r="I37" s="10">
        <v>241206</v>
      </c>
      <c r="J37" s="10">
        <v>0.83399999999999996</v>
      </c>
      <c r="K37" s="10">
        <v>0.65200000000000002</v>
      </c>
    </row>
    <row r="38" spans="1:11" ht="12.45" x14ac:dyDescent="0.3">
      <c r="A38" s="10" t="s">
        <v>113</v>
      </c>
      <c r="B38" s="10">
        <v>230824</v>
      </c>
      <c r="C38" s="10">
        <v>241206</v>
      </c>
      <c r="D38" s="10">
        <v>0.89959999999999996</v>
      </c>
      <c r="E38" s="10">
        <v>0.65400000000000003</v>
      </c>
      <c r="G38" s="11">
        <v>0</v>
      </c>
      <c r="H38" s="12">
        <f>252+14</f>
        <v>266</v>
      </c>
      <c r="I38" s="13">
        <f>52+9</f>
        <v>61</v>
      </c>
      <c r="J38" s="11">
        <f>H38/(H38+I38)</f>
        <v>0.81345565749235471</v>
      </c>
    </row>
    <row r="39" spans="1:11" ht="12.45" x14ac:dyDescent="0.3">
      <c r="A39" s="11">
        <v>0</v>
      </c>
      <c r="B39" s="12">
        <f>374+13</f>
        <v>387</v>
      </c>
      <c r="C39" s="13">
        <v>49</v>
      </c>
      <c r="D39" s="11">
        <f>B39/(B39+C39)</f>
        <v>0.88761467889908252</v>
      </c>
      <c r="G39" s="14">
        <v>1</v>
      </c>
      <c r="H39" s="13">
        <v>22</v>
      </c>
      <c r="I39" s="12">
        <v>151</v>
      </c>
      <c r="J39" s="14">
        <f>I39/(H39+I39)</f>
        <v>0.87283236994219648</v>
      </c>
    </row>
    <row r="40" spans="1:11" ht="12.45" x14ac:dyDescent="0.3">
      <c r="A40" s="14">
        <v>1</v>
      </c>
      <c r="B40" s="13">
        <v>1</v>
      </c>
      <c r="C40" s="12">
        <v>61</v>
      </c>
      <c r="D40" s="14">
        <f>C40/(B40+C40)</f>
        <v>0.9838709677419355</v>
      </c>
      <c r="H40" s="15">
        <f>H38/(H38+H39)</f>
        <v>0.92361111111111116</v>
      </c>
      <c r="I40" s="16">
        <f>I39/(I38+I39)</f>
        <v>0.71226415094339623</v>
      </c>
      <c r="J40" s="17">
        <f>H38+H39+I38+I39</f>
        <v>500</v>
      </c>
    </row>
    <row r="41" spans="1:11" ht="12.45" x14ac:dyDescent="0.3">
      <c r="B41" s="15">
        <f>B39/(B39+B40)</f>
        <v>0.99742268041237114</v>
      </c>
      <c r="C41" s="16">
        <f>C40/(C39+C40)</f>
        <v>0.55454545454545456</v>
      </c>
      <c r="D41" s="17">
        <f>B39+B40+C39+C40</f>
        <v>498</v>
      </c>
    </row>
    <row r="43" spans="1:11" ht="12.45" x14ac:dyDescent="0.3">
      <c r="A43" s="18" t="s">
        <v>106</v>
      </c>
      <c r="B43" s="18" t="s">
        <v>107</v>
      </c>
      <c r="C43" s="18" t="s">
        <v>108</v>
      </c>
      <c r="D43" s="18" t="s">
        <v>57</v>
      </c>
      <c r="E43" s="18" t="s">
        <v>58</v>
      </c>
    </row>
    <row r="44" spans="1:11" ht="12.45" x14ac:dyDescent="0.3">
      <c r="A44" s="10" t="s">
        <v>113</v>
      </c>
      <c r="B44" s="10">
        <v>241008</v>
      </c>
      <c r="C44" s="10">
        <v>241206</v>
      </c>
      <c r="D44" s="10">
        <v>0.91520000000000001</v>
      </c>
      <c r="E44" s="10">
        <v>0.75900000000000001</v>
      </c>
    </row>
    <row r="45" spans="1:11" ht="12.45" x14ac:dyDescent="0.3">
      <c r="A45" s="11">
        <v>0</v>
      </c>
      <c r="B45" s="12">
        <v>371</v>
      </c>
      <c r="C45" s="13">
        <v>39</v>
      </c>
      <c r="D45" s="11">
        <f>B45/(B45+C45)</f>
        <v>0.90487804878048783</v>
      </c>
    </row>
    <row r="46" spans="1:11" ht="12.45" x14ac:dyDescent="0.3">
      <c r="A46" s="14">
        <v>1</v>
      </c>
      <c r="B46" s="13">
        <v>4</v>
      </c>
      <c r="C46" s="12">
        <v>93</v>
      </c>
      <c r="D46" s="14">
        <f>C46/(B46+C46)</f>
        <v>0.95876288659793818</v>
      </c>
    </row>
    <row r="47" spans="1:11" ht="12.45" x14ac:dyDescent="0.3">
      <c r="B47" s="15">
        <f>B45/(B45+B46)</f>
        <v>0.98933333333333329</v>
      </c>
      <c r="C47" s="16">
        <f>C46/(C45+C46)</f>
        <v>0.70454545454545459</v>
      </c>
      <c r="D47" s="17">
        <f>B45+B46+C45+C46</f>
        <v>507</v>
      </c>
    </row>
  </sheetData>
  <mergeCells count="3">
    <mergeCell ref="A8:E8"/>
    <mergeCell ref="G8:K8"/>
    <mergeCell ref="M8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TrackingData</vt:lpstr>
      <vt:lpstr>README</vt:lpstr>
      <vt:lpstr>DataCurationTaskList</vt:lpstr>
      <vt:lpstr>Classification_AllSites</vt:lpstr>
      <vt:lpstr>ConfusionMatrices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McCollum</cp:lastModifiedBy>
  <dcterms:modified xsi:type="dcterms:W3CDTF">2026-04-17T21:38:50Z</dcterms:modified>
</cp:coreProperties>
</file>